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371FAB68287A87/Área de Trabalho/Dados Monografia/"/>
    </mc:Choice>
  </mc:AlternateContent>
  <xr:revisionPtr revIDLastSave="0" documentId="8_{5D08115A-0B90-4D26-A51E-EAC8146F5F8B}" xr6:coauthVersionLast="47" xr6:coauthVersionMax="47" xr10:uidLastSave="{00000000-0000-0000-0000-000000000000}"/>
  <bookViews>
    <workbookView xWindow="-108" yWindow="-108" windowWidth="23256" windowHeight="12456" tabRatio="597" xr2:uid="{00000000-000D-0000-FFFF-FFFF00000000}"/>
  </bookViews>
  <sheets>
    <sheet name="Dissertação (30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8" i="1" l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3" i="1"/>
  <c r="BF4" i="1"/>
  <c r="BF5" i="1"/>
  <c r="BF6" i="1"/>
  <c r="BF7" i="1"/>
  <c r="BF2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65" i="1"/>
  <c r="BA66" i="1"/>
  <c r="BA67" i="1"/>
  <c r="BA68" i="1"/>
  <c r="BA61" i="1"/>
  <c r="BA62" i="1"/>
  <c r="BA63" i="1"/>
  <c r="BA64" i="1"/>
  <c r="BA59" i="1"/>
  <c r="BA60" i="1"/>
  <c r="BA55" i="1"/>
  <c r="BA56" i="1"/>
  <c r="BA57" i="1"/>
  <c r="BA58" i="1"/>
  <c r="BA51" i="1"/>
  <c r="BA52" i="1"/>
  <c r="BA53" i="1"/>
  <c r="BA54" i="1"/>
  <c r="BA49" i="1"/>
  <c r="BA50" i="1"/>
  <c r="BA45" i="1"/>
  <c r="BA46" i="1"/>
  <c r="BA47" i="1"/>
  <c r="BA48" i="1"/>
  <c r="BA41" i="1"/>
  <c r="BA42" i="1"/>
  <c r="BA43" i="1"/>
  <c r="BA44" i="1"/>
  <c r="BA37" i="1"/>
  <c r="BA38" i="1"/>
  <c r="BA39" i="1"/>
  <c r="BA40" i="1"/>
  <c r="BA34" i="1"/>
  <c r="BA35" i="1"/>
  <c r="BA36" i="1"/>
  <c r="BA30" i="1"/>
  <c r="BA31" i="1"/>
  <c r="BA32" i="1"/>
  <c r="BA33" i="1"/>
  <c r="BA24" i="1"/>
  <c r="BA25" i="1"/>
  <c r="BA26" i="1"/>
  <c r="BA27" i="1"/>
  <c r="BA28" i="1"/>
  <c r="BA29" i="1"/>
  <c r="BA20" i="1"/>
  <c r="BA21" i="1"/>
  <c r="BA22" i="1"/>
  <c r="BA23" i="1"/>
  <c r="BA15" i="1"/>
  <c r="BA16" i="1"/>
  <c r="BA17" i="1"/>
  <c r="BA18" i="1"/>
  <c r="BA19" i="1"/>
  <c r="BA11" i="1"/>
  <c r="BA12" i="1"/>
  <c r="BA13" i="1"/>
  <c r="BA14" i="1"/>
  <c r="BA7" i="1"/>
  <c r="BA8" i="1"/>
  <c r="BA9" i="1"/>
  <c r="BA10" i="1"/>
  <c r="BA3" i="1"/>
  <c r="BA4" i="1"/>
  <c r="BA5" i="1"/>
  <c r="BA6" i="1"/>
  <c r="BA2" i="1"/>
  <c r="AK248" i="1"/>
  <c r="AL248" i="1" s="1"/>
  <c r="AK249" i="1"/>
  <c r="AL249" i="1" s="1"/>
  <c r="AK250" i="1"/>
  <c r="AL250" i="1" s="1"/>
  <c r="AK251" i="1"/>
  <c r="AL251" i="1" s="1"/>
  <c r="AK252" i="1"/>
  <c r="AL252" i="1" s="1"/>
  <c r="AK253" i="1"/>
  <c r="AL253" i="1" s="1"/>
  <c r="AK254" i="1"/>
  <c r="AL254" i="1" s="1"/>
  <c r="AK255" i="1"/>
  <c r="AL255" i="1" s="1"/>
  <c r="AK256" i="1"/>
  <c r="AL256" i="1" s="1"/>
  <c r="AK257" i="1"/>
  <c r="AL257" i="1" s="1"/>
  <c r="AK258" i="1"/>
  <c r="AL258" i="1" s="1"/>
  <c r="AK259" i="1"/>
  <c r="AL259" i="1" s="1"/>
  <c r="AK260" i="1"/>
  <c r="AL260" i="1" s="1"/>
  <c r="AK261" i="1"/>
  <c r="AL261" i="1" s="1"/>
  <c r="AK262" i="1"/>
  <c r="AL262" i="1" s="1"/>
  <c r="AK263" i="1"/>
  <c r="AL263" i="1" s="1"/>
  <c r="AK264" i="1"/>
  <c r="AL264" i="1" s="1"/>
  <c r="AK265" i="1"/>
  <c r="AL265" i="1" s="1"/>
  <c r="AK266" i="1"/>
  <c r="AL266" i="1" s="1"/>
  <c r="AK267" i="1"/>
  <c r="AL267" i="1" s="1"/>
  <c r="AK268" i="1"/>
  <c r="AL268" i="1" s="1"/>
  <c r="AK269" i="1"/>
  <c r="AL269" i="1" s="1"/>
  <c r="AK270" i="1"/>
  <c r="AL270" i="1" s="1"/>
  <c r="AK271" i="1"/>
  <c r="AL271" i="1" s="1"/>
  <c r="AK272" i="1"/>
  <c r="AL272" i="1" s="1"/>
  <c r="AK273" i="1"/>
  <c r="AL273" i="1" s="1"/>
  <c r="AK274" i="1"/>
  <c r="AL274" i="1" s="1"/>
  <c r="AK275" i="1"/>
  <c r="AL275" i="1" s="1"/>
  <c r="AK276" i="1"/>
  <c r="AL276" i="1" s="1"/>
  <c r="AK277" i="1"/>
  <c r="AL277" i="1" s="1"/>
  <c r="AK278" i="1"/>
  <c r="AL278" i="1" s="1"/>
  <c r="AK279" i="1"/>
  <c r="AL279" i="1" s="1"/>
  <c r="AK280" i="1"/>
  <c r="AL280" i="1" s="1"/>
  <c r="AK281" i="1"/>
  <c r="AL281" i="1" s="1"/>
  <c r="AK282" i="1"/>
  <c r="AL282" i="1" s="1"/>
  <c r="AK283" i="1"/>
  <c r="AL283" i="1" s="1"/>
  <c r="AK284" i="1"/>
  <c r="AL284" i="1" s="1"/>
  <c r="AK285" i="1"/>
  <c r="AL285" i="1" s="1"/>
  <c r="AK286" i="1"/>
  <c r="AL286" i="1" s="1"/>
  <c r="AK287" i="1"/>
  <c r="AL287" i="1" s="1"/>
  <c r="AK288" i="1"/>
  <c r="AL288" i="1" s="1"/>
  <c r="AK289" i="1"/>
  <c r="AL289" i="1" s="1"/>
  <c r="AK290" i="1"/>
  <c r="AL290" i="1" s="1"/>
  <c r="AK291" i="1"/>
  <c r="AL291" i="1" s="1"/>
  <c r="AK292" i="1"/>
  <c r="AL292" i="1" s="1"/>
  <c r="AK293" i="1"/>
  <c r="AL293" i="1" s="1"/>
  <c r="AK294" i="1"/>
  <c r="AL294" i="1" s="1"/>
  <c r="AK295" i="1"/>
  <c r="AL295" i="1" s="1"/>
  <c r="AK296" i="1"/>
  <c r="AL296" i="1" s="1"/>
  <c r="AK297" i="1"/>
  <c r="AL297" i="1" s="1"/>
  <c r="AK298" i="1"/>
  <c r="AL298" i="1" s="1"/>
  <c r="AK299" i="1"/>
  <c r="AL299" i="1" s="1"/>
  <c r="AK300" i="1"/>
  <c r="AL300" i="1" s="1"/>
  <c r="AK301" i="1"/>
  <c r="AL301" i="1" s="1"/>
  <c r="AK302" i="1"/>
  <c r="AL302" i="1" s="1"/>
  <c r="AK303" i="1"/>
  <c r="AL303" i="1" s="1"/>
  <c r="AK304" i="1"/>
  <c r="AL304" i="1" s="1"/>
  <c r="AK305" i="1"/>
  <c r="AL305" i="1" s="1"/>
  <c r="AK135" i="1"/>
  <c r="AL135" i="1" s="1"/>
  <c r="AK136" i="1"/>
  <c r="AL136" i="1" s="1"/>
  <c r="AK137" i="1"/>
  <c r="AL137" i="1" s="1"/>
  <c r="AK138" i="1"/>
  <c r="AL138" i="1" s="1"/>
  <c r="AK139" i="1"/>
  <c r="AL139" i="1" s="1"/>
  <c r="AK140" i="1"/>
  <c r="AL140" i="1" s="1"/>
  <c r="AK141" i="1"/>
  <c r="AL141" i="1" s="1"/>
  <c r="AK142" i="1"/>
  <c r="AL142" i="1" s="1"/>
  <c r="AK143" i="1"/>
  <c r="AL143" i="1" s="1"/>
  <c r="AK144" i="1"/>
  <c r="AL144" i="1" s="1"/>
  <c r="AK145" i="1"/>
  <c r="AL145" i="1" s="1"/>
  <c r="AK146" i="1"/>
  <c r="AL146" i="1" s="1"/>
  <c r="AK147" i="1"/>
  <c r="AL147" i="1" s="1"/>
  <c r="AK148" i="1"/>
  <c r="AL148" i="1" s="1"/>
  <c r="AK149" i="1"/>
  <c r="AL149" i="1" s="1"/>
  <c r="AK150" i="1"/>
  <c r="AL150" i="1" s="1"/>
  <c r="AK151" i="1"/>
  <c r="AL151" i="1" s="1"/>
  <c r="AK152" i="1"/>
  <c r="AL152" i="1" s="1"/>
  <c r="AK153" i="1"/>
  <c r="AL153" i="1" s="1"/>
  <c r="AK154" i="1"/>
  <c r="AL154" i="1" s="1"/>
  <c r="AK155" i="1"/>
  <c r="AL155" i="1" s="1"/>
  <c r="AK156" i="1"/>
  <c r="AL156" i="1" s="1"/>
  <c r="AK157" i="1"/>
  <c r="AL157" i="1" s="1"/>
  <c r="AK158" i="1"/>
  <c r="AL158" i="1" s="1"/>
  <c r="AK159" i="1"/>
  <c r="AL159" i="1" s="1"/>
  <c r="AK160" i="1"/>
  <c r="AL160" i="1" s="1"/>
  <c r="AK161" i="1"/>
  <c r="AL161" i="1" s="1"/>
  <c r="AK162" i="1"/>
  <c r="AL162" i="1" s="1"/>
  <c r="AK163" i="1"/>
  <c r="AL163" i="1" s="1"/>
  <c r="AK164" i="1"/>
  <c r="AL164" i="1" s="1"/>
  <c r="AK165" i="1"/>
  <c r="AL165" i="1" s="1"/>
  <c r="AK166" i="1"/>
  <c r="AL166" i="1" s="1"/>
  <c r="AK167" i="1"/>
  <c r="AL167" i="1" s="1"/>
  <c r="AK168" i="1"/>
  <c r="AL168" i="1" s="1"/>
  <c r="AK169" i="1"/>
  <c r="AL169" i="1" s="1"/>
  <c r="AK170" i="1"/>
  <c r="AL170" i="1" s="1"/>
  <c r="AK171" i="1"/>
  <c r="AL171" i="1" s="1"/>
  <c r="AK172" i="1"/>
  <c r="AL172" i="1" s="1"/>
  <c r="AK173" i="1"/>
  <c r="AL173" i="1" s="1"/>
  <c r="AK174" i="1"/>
  <c r="AL174" i="1" s="1"/>
  <c r="AK175" i="1"/>
  <c r="AL175" i="1" s="1"/>
  <c r="AK176" i="1"/>
  <c r="AL176" i="1" s="1"/>
  <c r="AK177" i="1"/>
  <c r="AL177" i="1" s="1"/>
  <c r="AK178" i="1"/>
  <c r="AL178" i="1" s="1"/>
  <c r="AK179" i="1"/>
  <c r="AL179" i="1" s="1"/>
  <c r="AK180" i="1"/>
  <c r="AL180" i="1" s="1"/>
  <c r="AK181" i="1"/>
  <c r="AL181" i="1" s="1"/>
  <c r="AK182" i="1"/>
  <c r="AL182" i="1" s="1"/>
  <c r="AK183" i="1"/>
  <c r="AL183" i="1" s="1"/>
  <c r="AK184" i="1"/>
  <c r="AL184" i="1" s="1"/>
  <c r="AK185" i="1"/>
  <c r="AL185" i="1" s="1"/>
  <c r="AK186" i="1"/>
  <c r="AL186" i="1" s="1"/>
  <c r="AK187" i="1"/>
  <c r="AL187" i="1" s="1"/>
  <c r="AK188" i="1"/>
  <c r="AL188" i="1" s="1"/>
  <c r="AK189" i="1"/>
  <c r="AL189" i="1" s="1"/>
  <c r="AK190" i="1"/>
  <c r="AL190" i="1" s="1"/>
  <c r="AK191" i="1"/>
  <c r="AL191" i="1" s="1"/>
  <c r="AK192" i="1"/>
  <c r="AL192" i="1" s="1"/>
  <c r="AK193" i="1"/>
  <c r="AL193" i="1" s="1"/>
  <c r="AK194" i="1"/>
  <c r="AL194" i="1" s="1"/>
  <c r="AK195" i="1"/>
  <c r="AL195" i="1" s="1"/>
  <c r="AK196" i="1"/>
  <c r="AL196" i="1" s="1"/>
  <c r="AK197" i="1"/>
  <c r="AL197" i="1" s="1"/>
  <c r="AK198" i="1"/>
  <c r="AL198" i="1" s="1"/>
  <c r="AK199" i="1"/>
  <c r="AL199" i="1" s="1"/>
  <c r="AK200" i="1"/>
  <c r="AL200" i="1" s="1"/>
  <c r="AK201" i="1"/>
  <c r="AL201" i="1" s="1"/>
  <c r="AK202" i="1"/>
  <c r="AL202" i="1" s="1"/>
  <c r="AK203" i="1"/>
  <c r="AL203" i="1" s="1"/>
  <c r="AK204" i="1"/>
  <c r="AL204" i="1" s="1"/>
  <c r="AK205" i="1"/>
  <c r="AL205" i="1" s="1"/>
  <c r="AK206" i="1"/>
  <c r="AL206" i="1" s="1"/>
  <c r="AK207" i="1"/>
  <c r="AL207" i="1" s="1"/>
  <c r="AK208" i="1"/>
  <c r="AL208" i="1" s="1"/>
  <c r="AK209" i="1"/>
  <c r="AL209" i="1" s="1"/>
  <c r="AK210" i="1"/>
  <c r="AL210" i="1" s="1"/>
  <c r="AK211" i="1"/>
  <c r="AL211" i="1" s="1"/>
  <c r="AK212" i="1"/>
  <c r="AL212" i="1" s="1"/>
  <c r="AK213" i="1"/>
  <c r="AL213" i="1" s="1"/>
  <c r="AK214" i="1"/>
  <c r="AL214" i="1" s="1"/>
  <c r="AK215" i="1"/>
  <c r="AL215" i="1" s="1"/>
  <c r="AK216" i="1"/>
  <c r="AL216" i="1" s="1"/>
  <c r="AK217" i="1"/>
  <c r="AL217" i="1" s="1"/>
  <c r="AK218" i="1"/>
  <c r="AL218" i="1" s="1"/>
  <c r="AK219" i="1"/>
  <c r="AL219" i="1" s="1"/>
  <c r="AK220" i="1"/>
  <c r="AL220" i="1" s="1"/>
  <c r="AK221" i="1"/>
  <c r="AL221" i="1" s="1"/>
  <c r="AK222" i="1"/>
  <c r="AL222" i="1" s="1"/>
  <c r="AK223" i="1"/>
  <c r="AL223" i="1" s="1"/>
  <c r="AK224" i="1"/>
  <c r="AL224" i="1" s="1"/>
  <c r="AK225" i="1"/>
  <c r="AL225" i="1" s="1"/>
  <c r="AK226" i="1"/>
  <c r="AL226" i="1" s="1"/>
  <c r="AK227" i="1"/>
  <c r="AL227" i="1" s="1"/>
  <c r="AK228" i="1"/>
  <c r="AL228" i="1" s="1"/>
  <c r="AK229" i="1"/>
  <c r="AL229" i="1" s="1"/>
  <c r="AK230" i="1"/>
  <c r="AL230" i="1" s="1"/>
  <c r="AK231" i="1"/>
  <c r="AL231" i="1" s="1"/>
  <c r="AK232" i="1"/>
  <c r="AL232" i="1" s="1"/>
  <c r="AK233" i="1"/>
  <c r="AL233" i="1" s="1"/>
  <c r="AK234" i="1"/>
  <c r="AL234" i="1" s="1"/>
  <c r="AK235" i="1"/>
  <c r="AL235" i="1" s="1"/>
  <c r="AK236" i="1"/>
  <c r="AL236" i="1" s="1"/>
  <c r="AK237" i="1"/>
  <c r="AL237" i="1" s="1"/>
  <c r="AK238" i="1"/>
  <c r="AL238" i="1" s="1"/>
  <c r="AK239" i="1"/>
  <c r="AL239" i="1" s="1"/>
  <c r="AK240" i="1"/>
  <c r="AL240" i="1" s="1"/>
  <c r="AK241" i="1"/>
  <c r="AL241" i="1" s="1"/>
  <c r="AK242" i="1"/>
  <c r="AL242" i="1" s="1"/>
  <c r="AK243" i="1"/>
  <c r="AL243" i="1" s="1"/>
  <c r="AK244" i="1"/>
  <c r="AL244" i="1" s="1"/>
  <c r="AK245" i="1"/>
  <c r="AL245" i="1" s="1"/>
  <c r="AK246" i="1"/>
  <c r="AL246" i="1" s="1"/>
  <c r="AK247" i="1"/>
  <c r="AL247" i="1" s="1"/>
  <c r="AK130" i="1"/>
  <c r="AL130" i="1" s="1"/>
  <c r="AK131" i="1"/>
  <c r="AL131" i="1" s="1"/>
  <c r="AK132" i="1"/>
  <c r="AL132" i="1" s="1"/>
  <c r="AK133" i="1"/>
  <c r="AL133" i="1" s="1"/>
  <c r="AK134" i="1"/>
  <c r="AL134" i="1" s="1"/>
  <c r="AK125" i="1"/>
  <c r="AL125" i="1" s="1"/>
  <c r="AK126" i="1"/>
  <c r="AL126" i="1" s="1"/>
  <c r="AK127" i="1"/>
  <c r="AL127" i="1" s="1"/>
  <c r="AK128" i="1"/>
  <c r="AL128" i="1" s="1"/>
  <c r="AK129" i="1"/>
  <c r="AL129" i="1" s="1"/>
  <c r="AK121" i="1"/>
  <c r="AL121" i="1" s="1"/>
  <c r="AK122" i="1"/>
  <c r="AL122" i="1" s="1"/>
  <c r="AK123" i="1"/>
  <c r="AL123" i="1" s="1"/>
  <c r="AK124" i="1"/>
  <c r="AL124" i="1" s="1"/>
  <c r="AK117" i="1"/>
  <c r="AL117" i="1" s="1"/>
  <c r="AK118" i="1"/>
  <c r="AL118" i="1" s="1"/>
  <c r="AK119" i="1"/>
  <c r="AL119" i="1" s="1"/>
  <c r="AK120" i="1"/>
  <c r="AL120" i="1" s="1"/>
  <c r="AK112" i="1"/>
  <c r="AL112" i="1" s="1"/>
  <c r="AK113" i="1"/>
  <c r="AL113" i="1" s="1"/>
  <c r="AK114" i="1"/>
  <c r="AL114" i="1" s="1"/>
  <c r="AK115" i="1"/>
  <c r="AL115" i="1" s="1"/>
  <c r="AK116" i="1"/>
  <c r="AL116" i="1" s="1"/>
  <c r="AK108" i="1"/>
  <c r="AL108" i="1" s="1"/>
  <c r="AK109" i="1"/>
  <c r="AL109" i="1" s="1"/>
  <c r="AK110" i="1"/>
  <c r="AL110" i="1" s="1"/>
  <c r="AK111" i="1"/>
  <c r="AL111" i="1" s="1"/>
  <c r="AK104" i="1"/>
  <c r="AL104" i="1" s="1"/>
  <c r="AK105" i="1"/>
  <c r="AL105" i="1" s="1"/>
  <c r="AK106" i="1"/>
  <c r="AL106" i="1" s="1"/>
  <c r="AK107" i="1"/>
  <c r="AL107" i="1" s="1"/>
  <c r="AK101" i="1"/>
  <c r="AL101" i="1" s="1"/>
  <c r="AK102" i="1"/>
  <c r="AL102" i="1" s="1"/>
  <c r="AK103" i="1"/>
  <c r="AL103" i="1" s="1"/>
  <c r="AK97" i="1"/>
  <c r="AL97" i="1" s="1"/>
  <c r="AK98" i="1"/>
  <c r="AL98" i="1" s="1"/>
  <c r="AK99" i="1"/>
  <c r="AL99" i="1" s="1"/>
  <c r="AK100" i="1"/>
  <c r="AL100" i="1" s="1"/>
  <c r="AK93" i="1"/>
  <c r="AL93" i="1" s="1"/>
  <c r="AK94" i="1"/>
  <c r="AL94" i="1" s="1"/>
  <c r="AK95" i="1"/>
  <c r="AL95" i="1" s="1"/>
  <c r="AK96" i="1"/>
  <c r="AL96" i="1" s="1"/>
  <c r="AK89" i="1"/>
  <c r="AL89" i="1" s="1"/>
  <c r="AK90" i="1"/>
  <c r="AL90" i="1" s="1"/>
  <c r="AK91" i="1"/>
  <c r="AL91" i="1" s="1"/>
  <c r="AK92" i="1"/>
  <c r="AL92" i="1" s="1"/>
  <c r="AK86" i="1"/>
  <c r="AL86" i="1" s="1"/>
  <c r="AK87" i="1"/>
  <c r="AL87" i="1" s="1"/>
  <c r="AK88" i="1"/>
  <c r="AL88" i="1" s="1"/>
  <c r="AK83" i="1"/>
  <c r="AL83" i="1" s="1"/>
  <c r="AK84" i="1"/>
  <c r="AL84" i="1" s="1"/>
  <c r="AK85" i="1"/>
  <c r="AL85" i="1" s="1"/>
  <c r="AK79" i="1"/>
  <c r="AL79" i="1" s="1"/>
  <c r="AK80" i="1"/>
  <c r="AL80" i="1" s="1"/>
  <c r="AK81" i="1"/>
  <c r="AL81" i="1" s="1"/>
  <c r="AK82" i="1"/>
  <c r="AL82" i="1" s="1"/>
  <c r="AK75" i="1"/>
  <c r="AL75" i="1" s="1"/>
  <c r="AK76" i="1"/>
  <c r="AL76" i="1" s="1"/>
  <c r="AK77" i="1"/>
  <c r="AL77" i="1" s="1"/>
  <c r="AK78" i="1"/>
  <c r="AL78" i="1" s="1"/>
  <c r="AK57" i="1"/>
  <c r="AL57" i="1" s="1"/>
  <c r="AK58" i="1"/>
  <c r="AL58" i="1" s="1"/>
  <c r="AK59" i="1"/>
  <c r="AL59" i="1" s="1"/>
  <c r="AK60" i="1"/>
  <c r="AL60" i="1" s="1"/>
  <c r="AK61" i="1"/>
  <c r="AL61" i="1" s="1"/>
  <c r="AK62" i="1"/>
  <c r="AL62" i="1" s="1"/>
  <c r="AK63" i="1"/>
  <c r="AL63" i="1" s="1"/>
  <c r="AK64" i="1"/>
  <c r="AL64" i="1" s="1"/>
  <c r="AK65" i="1"/>
  <c r="AL65" i="1" s="1"/>
  <c r="AK66" i="1"/>
  <c r="AL66" i="1" s="1"/>
  <c r="AK67" i="1"/>
  <c r="AL67" i="1" s="1"/>
  <c r="AK68" i="1"/>
  <c r="AL68" i="1" s="1"/>
  <c r="AK69" i="1"/>
  <c r="AL69" i="1" s="1"/>
  <c r="AK70" i="1"/>
  <c r="AL70" i="1" s="1"/>
  <c r="AK71" i="1"/>
  <c r="AL71" i="1" s="1"/>
  <c r="AK72" i="1"/>
  <c r="AL72" i="1" s="1"/>
  <c r="AK73" i="1"/>
  <c r="AL73" i="1" s="1"/>
  <c r="AK74" i="1"/>
  <c r="AL74" i="1" s="1"/>
  <c r="AK54" i="1"/>
  <c r="AL54" i="1" s="1"/>
  <c r="AK55" i="1"/>
  <c r="AL55" i="1" s="1"/>
  <c r="AK56" i="1"/>
  <c r="AL56" i="1" s="1"/>
  <c r="AK50" i="1"/>
  <c r="AL50" i="1" s="1"/>
  <c r="AK51" i="1"/>
  <c r="AL51" i="1" s="1"/>
  <c r="AK52" i="1"/>
  <c r="AL52" i="1" s="1"/>
  <c r="AK53" i="1"/>
  <c r="AL53" i="1" s="1"/>
  <c r="AK47" i="1"/>
  <c r="AL47" i="1" s="1"/>
  <c r="AK48" i="1"/>
  <c r="AL48" i="1" s="1"/>
  <c r="AK49" i="1"/>
  <c r="AL49" i="1" s="1"/>
  <c r="AK45" i="1"/>
  <c r="AL45" i="1" s="1"/>
  <c r="AK46" i="1"/>
  <c r="AL46" i="1" s="1"/>
  <c r="AK43" i="1"/>
  <c r="AL43" i="1" s="1"/>
  <c r="AK44" i="1"/>
  <c r="AL44" i="1" s="1"/>
  <c r="AK40" i="1"/>
  <c r="AL40" i="1" s="1"/>
  <c r="AK41" i="1"/>
  <c r="AL41" i="1" s="1"/>
  <c r="AK42" i="1"/>
  <c r="AL42" i="1" s="1"/>
  <c r="AK36" i="1"/>
  <c r="AL36" i="1" s="1"/>
  <c r="AK37" i="1"/>
  <c r="AL37" i="1" s="1"/>
  <c r="AK38" i="1"/>
  <c r="AL38" i="1" s="1"/>
  <c r="AK39" i="1"/>
  <c r="AL39" i="1" s="1"/>
  <c r="AK32" i="1"/>
  <c r="AL32" i="1" s="1"/>
  <c r="AK33" i="1"/>
  <c r="AL33" i="1" s="1"/>
  <c r="AK34" i="1"/>
  <c r="AL34" i="1" s="1"/>
  <c r="AK35" i="1"/>
  <c r="AL35" i="1" s="1"/>
  <c r="AK30" i="1"/>
  <c r="AL30" i="1" s="1"/>
  <c r="AK31" i="1"/>
  <c r="AL31" i="1" s="1"/>
  <c r="AK26" i="1"/>
  <c r="AL26" i="1" s="1"/>
  <c r="AK27" i="1"/>
  <c r="AL27" i="1" s="1"/>
  <c r="AK28" i="1"/>
  <c r="AL28" i="1" s="1"/>
  <c r="AK29" i="1"/>
  <c r="AL29" i="1" s="1"/>
  <c r="AK22" i="1"/>
  <c r="AL22" i="1" s="1"/>
  <c r="AK23" i="1"/>
  <c r="AL23" i="1" s="1"/>
  <c r="AK24" i="1"/>
  <c r="AL24" i="1" s="1"/>
  <c r="AK25" i="1"/>
  <c r="AL25" i="1" s="1"/>
  <c r="AK18" i="1"/>
  <c r="AL18" i="1" s="1"/>
  <c r="AK19" i="1"/>
  <c r="AL19" i="1" s="1"/>
  <c r="AK20" i="1"/>
  <c r="AL20" i="1" s="1"/>
  <c r="AK21" i="1"/>
  <c r="AL21" i="1" s="1"/>
  <c r="AK14" i="1"/>
  <c r="AL14" i="1" s="1"/>
  <c r="AK15" i="1"/>
  <c r="AL15" i="1" s="1"/>
  <c r="AK16" i="1"/>
  <c r="AL16" i="1" s="1"/>
  <c r="AK17" i="1"/>
  <c r="AL17" i="1" s="1"/>
  <c r="AK9" i="1"/>
  <c r="AL9" i="1" s="1"/>
  <c r="AK10" i="1"/>
  <c r="AL10" i="1" s="1"/>
  <c r="AK11" i="1"/>
  <c r="AL11" i="1" s="1"/>
  <c r="AK12" i="1"/>
  <c r="AL12" i="1" s="1"/>
  <c r="AK13" i="1"/>
  <c r="AL13" i="1" s="1"/>
  <c r="AK3" i="1"/>
  <c r="AL3" i="1" s="1"/>
  <c r="AK4" i="1"/>
  <c r="AL4" i="1" s="1"/>
  <c r="AK5" i="1"/>
  <c r="AL5" i="1" s="1"/>
  <c r="AK6" i="1"/>
  <c r="AL6" i="1" s="1"/>
  <c r="AK7" i="1"/>
  <c r="AL7" i="1" s="1"/>
  <c r="AK8" i="1"/>
  <c r="AL8" i="1" s="1"/>
  <c r="AK2" i="1"/>
  <c r="AL2" i="1" s="1"/>
</calcChain>
</file>

<file path=xl/sharedStrings.xml><?xml version="1.0" encoding="utf-8"?>
<sst xmlns="http://schemas.openxmlformats.org/spreadsheetml/2006/main" count="7900" uniqueCount="1463">
  <si>
    <t>NR_PROC_CLASSE</t>
  </si>
  <si>
    <t>CLASSE</t>
  </si>
  <si>
    <t>PROCESSO</t>
  </si>
  <si>
    <t>SG_UF</t>
  </si>
  <si>
    <t>DS_SEGREDO_JUSTICA</t>
  </si>
  <si>
    <t>DT_AUTUACAO</t>
  </si>
  <si>
    <t>DATA_JULGAMENTO</t>
  </si>
  <si>
    <t>MINISTRO_RELATOR</t>
  </si>
  <si>
    <t>ASSUNTO_PRINCIPAL</t>
  </si>
  <si>
    <t>DS_ASSUNTO_COMPLEMENTAR</t>
  </si>
  <si>
    <t>RAMO</t>
  </si>
  <si>
    <t>TIPO_DECISÃO_FINAL</t>
  </si>
  <si>
    <t>PARTES</t>
  </si>
  <si>
    <t>AgRg</t>
  </si>
  <si>
    <t>SP</t>
  </si>
  <si>
    <t>NÃO</t>
  </si>
  <si>
    <t>Rogerio Schietti Cruz</t>
  </si>
  <si>
    <t>DIREITO PENAL : Crimes contra o Patrimônio : Furto</t>
  </si>
  <si>
    <t>DIREITO PENAL : Parte Geral : Tipicidade : Princípio da Insignificância</t>
  </si>
  <si>
    <t>PN</t>
  </si>
  <si>
    <t>Negando</t>
  </si>
  <si>
    <t>MONOCRÁTICA</t>
  </si>
  <si>
    <t>EVANDRO FELIX DA SILVA // MINISTÉRIO PÚBLICO DO ESTADO DE SÃO PAULO</t>
  </si>
  <si>
    <t>DEFENSORIA PÚBLICA DO ESTADO DE SÃO PAULO</t>
  </si>
  <si>
    <t>HC</t>
  </si>
  <si>
    <t>DANIEL ANTONIO DOS REIS SANTOS // DEFENSORIA PÚBLICA DO ESTADO DE SÃO PAULO // TRIBUNAL DE JUSTIÇA DO ESTADO DE SÃO PAULO</t>
  </si>
  <si>
    <t>REsp</t>
  </si>
  <si>
    <t>REsp1501730</t>
  </si>
  <si>
    <t>RJ</t>
  </si>
  <si>
    <t>Antonio Saldanha Palheiro</t>
  </si>
  <si>
    <t>Concedendo</t>
  </si>
  <si>
    <t>JOEL GOMES FERNANDES // MINISTÉRIO PÚBLICO DO ESTADO DO RIO DE JANEIRO</t>
  </si>
  <si>
    <t>DEFENSORIA PÚBLICA DO ESTADO DO RIO DE JANEIRO</t>
  </si>
  <si>
    <t>SC</t>
  </si>
  <si>
    <t>Joel Ilan Paciornik</t>
  </si>
  <si>
    <t>Não Conhecendo</t>
  </si>
  <si>
    <t>DEFENSORIA PÚBLICA DO ESTADO DE SANTA CATARINA</t>
  </si>
  <si>
    <t>HC328808</t>
  </si>
  <si>
    <t>Jorge Mussi</t>
  </si>
  <si>
    <t>DAMIAO DOS SANTOS MIGUEL // DEFENSORIA PÚBLICA DO ESTADO DE SÃO PAULO // TRIBUNAL DE JUSTIÇA DO ESTADO DE SÃO PAULO</t>
  </si>
  <si>
    <t>HC311497</t>
  </si>
  <si>
    <t>RS</t>
  </si>
  <si>
    <t>Ribeiro Dantas</t>
  </si>
  <si>
    <t>COLEGIADA</t>
  </si>
  <si>
    <t>DEFENSORIA PÚBLICA DO ESTADO DO RIO GRANDE DO SUL // JEFERSON DOS SANTOS // TRIBUNAL DE JUSTIÇA DO ESTADO DO RIO GRANDE DO SUL</t>
  </si>
  <si>
    <t>DEFENSORIA PÚBLICA DO ESTADO DO RIO GRANDE DO SUL</t>
  </si>
  <si>
    <t>AREsp</t>
  </si>
  <si>
    <t>MT</t>
  </si>
  <si>
    <t>DIREITO PENAL : Crimes contra o Patrimônio : Furto Qualificado</t>
  </si>
  <si>
    <t>HC349555</t>
  </si>
  <si>
    <t>DEFENSORIA PÚBLICA DO ESTADO DE SANTA CATARINA // JONATAS CORREA FOGAÇA // TRIBUNAL DE JUSTIÇA DO ESTADO DE SANTA CATARINA</t>
  </si>
  <si>
    <t>AREsp554119</t>
  </si>
  <si>
    <t>Sebastião Reis Júnior</t>
  </si>
  <si>
    <t>MARCELO DE OLIVEIRA // MINISTÉRIO PÚBLICO DO ESTADO DO RIO GRANDE DO SUL // PAULO CÉSAR DA GRAÇA MARINS</t>
  </si>
  <si>
    <t>AREsp595485</t>
  </si>
  <si>
    <t>DF</t>
  </si>
  <si>
    <t>JOÃO PAULO DE OLIVEIRA LOURENÇO // MINISTÉRIO PÚBLICO DO DISTRITO FEDERAL E TERRITÓRIOS</t>
  </si>
  <si>
    <t>Reynaldo Soares da Fonseca</t>
  </si>
  <si>
    <t>HC319002</t>
  </si>
  <si>
    <t>Felix Fischer</t>
  </si>
  <si>
    <t>CELIA ROSA DE MORAES XAVIER // DANIEL DE MORAES // DEFENSORIA PÚBLICA DO ESTADO DE SANTA CATARINA // LUCAS SILVA DE OLIVEIRA // TRIBUNAL DE JUSTIÇA DO ESTADO DE SANTA CATARINA</t>
  </si>
  <si>
    <t>HC315114</t>
  </si>
  <si>
    <t>ANDERSON DUARTE SILVA // DEFENSORIA PÚBLICA DO ESTADO DE SANTA CATARINA // TRIBUNAL DE JUSTIÇA DO ESTADO DE SANTA CATARINA</t>
  </si>
  <si>
    <t>REsp1525568</t>
  </si>
  <si>
    <t>MG</t>
  </si>
  <si>
    <t>ELAINE DE CASSIA MATEUS // ELAINE DE CASSIA MATHEUS // MINISTÉRIO PÚBLICO DO ESTADO DE MINAS GERAIS</t>
  </si>
  <si>
    <t>DEFENSORIA PÚBLICA DO ESTADO DE MINAS GERAIS</t>
  </si>
  <si>
    <t>AREsp574145</t>
  </si>
  <si>
    <t>IVANILDO GONÇALVES DOS SANTOS // IVANILDO GONÇALVES DOS SANTOS // MINISTÉRIO PÚBLICO DO DISTRITO FEDERAL E TERRITÓRIOS</t>
  </si>
  <si>
    <t>DEFENSORIA PÚBLICA DO DISTRITO FEDERAL</t>
  </si>
  <si>
    <t>AREsp618213</t>
  </si>
  <si>
    <t>Ericson Maranho (Desembargador convocado do TJ/SP)</t>
  </si>
  <si>
    <t>FRANCISLEI SEMIÃO FARIA // MINISTÉRIO PÚBLICO DO ESTADO DE MINAS GERAIS</t>
  </si>
  <si>
    <t>AVANDINO FRANCISCO SANTOS // MINISTÉRIO PÚBLICO DO ESTADO DE MINAS GERAIS</t>
  </si>
  <si>
    <t>ALEX DA SILVA ALVES // ALEX DA SILVA ALVES // MINISTÉRIO PÚBLICO DO ESTADO DE SÃO PAULO</t>
  </si>
  <si>
    <t>VLADIMIR LOZANO JUNIOR</t>
  </si>
  <si>
    <t>REsp1491440</t>
  </si>
  <si>
    <t>Walter de Almeida Guilherme (Desembargador convocado do TJ/SP)</t>
  </si>
  <si>
    <t>JOÃO CARLOS PEREIRA // JOÃO CARLOS PEREIRA // MINISTÉRIO PÚBLICO DO ESTADO DE MINAS GERAIS</t>
  </si>
  <si>
    <t>JOELMA OLIVEIRA MARTINS // JOELMA OLIVEIRA MARTINS // JOELMA OLIVEIRA MARTINS // MINISTÉRIO PÚBLICO DO ESTADO DE MINAS GERAIS</t>
  </si>
  <si>
    <t>HC343943</t>
  </si>
  <si>
    <t>DEFENSORIA PÚBLICA DO ESTADO DE SÃO PAULO // FREDERICO JULIO CARVALHO FERREIRA // TRIBUNAL DE JUSTIÇA DO ESTADO DE SÃO PAULO</t>
  </si>
  <si>
    <t>AREsp693829</t>
  </si>
  <si>
    <t>MINISTÉRIO PÚBLICO DO ESTADO DE SÃO PAULO // TEREZA CRISTINA MARANO</t>
  </si>
  <si>
    <t>ADALTO ALVES MOREIRA // ADALTO ALVES MOREIRA // MINISTÉRIO PÚBLICO DO DISTRITO FEDERAL E TERRITÓRIOS</t>
  </si>
  <si>
    <t>HC311641</t>
  </si>
  <si>
    <t>DEFENSORIA PÚBLICA DO ESTADO DO RIO DE JANEIRO // EDGAR MENDES DA SILVA // TRIBUNAL DE JUSTIÇA DO ESTADO DO RIO DE JANEIRO</t>
  </si>
  <si>
    <t>APARECIDO DA SILVA FERREIRA // APARECIDO DA SILVA FERREIRA // APARECIDO DA SILVA FERREIRA // MINISTÉRIO PÚBLICO DO DISTRITO FEDERAL E TERRITÓRIOS</t>
  </si>
  <si>
    <t>HC310438</t>
  </si>
  <si>
    <t>ALEXSANDRO ALVES NASCIMENTO // DEFENSORIA PÚBLICA DO ESTADO DE SANTA CATARINA // TRIBUNAL DE JUSTIÇA DO ESTADO DE SANTA CATARINA</t>
  </si>
  <si>
    <t>AREsp587878</t>
  </si>
  <si>
    <t>LUIS PAULO FERREIRA DE ARAÚJO // MINISTERIO PÚBLICO DO ESTADO DE MATO GROSSO // SEBASTIÃO CARLOS FERREIRA DA SILVA</t>
  </si>
  <si>
    <t>DEFENSORIA PÚBLICA DO ESTADO DE MATO GROSSO</t>
  </si>
  <si>
    <t>MINISTÉRIO PÚBLICO DO ESTADO DE MINAS GERAIS // RAMANA LUIZA LOPES SOUZA // RAMANA LUIZA LOPES SOUZA // RAMANA LUIZA LOPES SOUZA</t>
  </si>
  <si>
    <t>Nefi Cordeiro</t>
  </si>
  <si>
    <t>AREsp618567</t>
  </si>
  <si>
    <t>MIGUEL DE ABREU MIRANDA // MINISTÉRIO PÚBLICO DO ESTADO DO RIO GRANDE DO SUL</t>
  </si>
  <si>
    <t>GLEISSON CARVALHO GONÇALVES // GLEISSON CARVALHO GONÇALVES // MINISTÉRIO PÚBLICO DO ESTADO DE MINAS GERAIS</t>
  </si>
  <si>
    <t>HC306075</t>
  </si>
  <si>
    <t>DEFENSORIA PÚBLICA DO ESTADO DE SÃO PAULO // DENILSON ROBERTO CALIL AUADA // TRIBUNAL DE JUSTIÇA DO ESTADO DE SÃO PAULO</t>
  </si>
  <si>
    <t>RAFAELA COMUNALE ALEIXO</t>
  </si>
  <si>
    <t>Maria Thereza de Assis Moura</t>
  </si>
  <si>
    <t xml:space="preserve">EREsp </t>
  </si>
  <si>
    <t>EREsp 1531049</t>
  </si>
  <si>
    <t>MINISTÉRIO PÚBLICO DO ESTADO DO RIO GRANDE DO SUL // ROGERIO ANTONIO AJARDO</t>
  </si>
  <si>
    <t>HC325822</t>
  </si>
  <si>
    <t>MS</t>
  </si>
  <si>
    <t>DEFENSORIA PÚBLICA DO ESTADO DE MATO GROSSO DO SUL // JOSENI SANTOS MACHADO // NAILSON ROGERIO DE FREITAS // TRIBUNAL DE JUSTIÇA DO ESTADO DE MATO GROSSO DO SUL</t>
  </si>
  <si>
    <t>DEFENSORIA PÚBLICA DO ESTADO DE MATO GROSSO DO SUL</t>
  </si>
  <si>
    <t>AREsp605580</t>
  </si>
  <si>
    <t>ALCIDES TOLEDO // MARCELO THIAGO DE SOUZA // MARCELO THIAGO DE SOUZA // MINISTÉRIO PÚBLICO DO ESTADO DE MATO GROSSO DO SUL</t>
  </si>
  <si>
    <t>Leopoldo de Arruda Raposo (Desembargador convocado do TJ/PE)</t>
  </si>
  <si>
    <t>MINISTÉRIO PÚBLICO DO ESTADO DE MINAS GERAIS // RODRIGO VIEIRA GAMAS // RODRIGO VIEIRA GAMAS</t>
  </si>
  <si>
    <t>HC313880</t>
  </si>
  <si>
    <t>ADRIANO DA SILVA FARIAS // DEFENSORIA PÚBLICA DO ESTADO DE SÃO PAULO // DIEGO DO NASCIMENTO LOPES // TRIBUNAL DE JUSTIÇA DO ESTADO DE SÃO PAULO</t>
  </si>
  <si>
    <t>HC315623</t>
  </si>
  <si>
    <t>CARLOS HENRIQUE DA SILVA E SILVA // DEFENSORIA PÚBLICA DO ESTADO DE SÃO PAULO // TRIBUNAL DE JUSTIÇA DO ESTADO DE SÃO PAULO</t>
  </si>
  <si>
    <t>AREsp589659</t>
  </si>
  <si>
    <t>Gurgel de Faria</t>
  </si>
  <si>
    <t>JEFERSON COSME MARTINS DA SILVA // MINISTÉRIO PÚBLICO DO ESTADO DE MINAS GERAIS</t>
  </si>
  <si>
    <t>REsp1518978</t>
  </si>
  <si>
    <t>AGUINALDO DOS SANTOS FARIA // MINISTÉRIO PÚBLICO DO ESTADO DO RIO GRANDE DO SUL</t>
  </si>
  <si>
    <t>REsp1521715</t>
  </si>
  <si>
    <t>MINISTÉRIO PÚBLICO DO ESTADO DO RIO GRANDE DO SUL // ROGERIO BORGES PELEGEIRO</t>
  </si>
  <si>
    <t>AREsp678421</t>
  </si>
  <si>
    <t>EVERTON DA SILVA // MINISTÉRIO PÚBLICO DO ESTADO DO RIO GRANDE DO SUL</t>
  </si>
  <si>
    <t>AREsp674197</t>
  </si>
  <si>
    <t>MINISTÉRIO PÚBLICO DO DISTRITO FEDERAL E TERRITÓRIOS // THALISON DOS SANTOS NASCIMENTO</t>
  </si>
  <si>
    <t>AREsp758826</t>
  </si>
  <si>
    <t>TO</t>
  </si>
  <si>
    <t>MINISTÉRIO PÚBLICO DO ESTADO DO TOCANTINS // MINISTÉRIO PÚBLICO FEDERAL // SILVIO MARINHO DIAS // SILVIO MARINHO DIAS</t>
  </si>
  <si>
    <t>MINISTÉRIO PÚBLICO DO ESTADO DE MATO GROSSO DO SUL // SAMUEL DE MOURA SILVEIRA</t>
  </si>
  <si>
    <t>AREsp583529</t>
  </si>
  <si>
    <t>MINISTÉRIO PÚBLICO DO ESTADO DE MATO GROSSO DO SUL // REALINO HENRIQUE</t>
  </si>
  <si>
    <t>MARCOS AURÉLIO PEREIRA CAETANO // MARCOS AURÉLIO PEREIRA CAETANO // MARCOS AURÉLIO PEREIRA CAETANO // MARCOS AURÉLIO PEREIRA CAETANO // MINISTÉRIO PÚBLICO DO DISTRITO FEDERAL E TERRITÓRIOS</t>
  </si>
  <si>
    <t>AREsp682168</t>
  </si>
  <si>
    <t>DOUGLAS TADEU DE SOUZA // MINISTÉRIO PÚBLICO DO ESTADO DE SÃO PAULO</t>
  </si>
  <si>
    <t>AREsp563041</t>
  </si>
  <si>
    <t>GENIVALDO DOS SANTOS SOUZA // GENIVALDO DOS SANTOS SOUZA // MINISTÉRIO PÚBLICO DO DISTRITO FEDERAL E TERRITÓRIOS</t>
  </si>
  <si>
    <t>HC301242</t>
  </si>
  <si>
    <t>DEFENSORIA PÚBLICA DO ESTADO DE SÃO PAULO // MARCIO APARECIDO BERTOLINI // TRIBUNAL DE JUSTIÇA DO ESTADO DE SÃO PAULO</t>
  </si>
  <si>
    <t>AREsp648930</t>
  </si>
  <si>
    <t>FRANCISCO CIPRIANO DA COSTA NETO // MINISTÉRIO PÚBLICO DO ESTADO DE MINAS GERAIS</t>
  </si>
  <si>
    <t>REsp1525013</t>
  </si>
  <si>
    <t>ÂNGELO ROBERTO DE OLIVEIRA JÚNIOR // MINISTÉRIO PÚBLICO DO ESTADO DE MINAS GERAIS</t>
  </si>
  <si>
    <t>HC327356</t>
  </si>
  <si>
    <t>DEFENSORIA PÚBLICA DO ESTADO DE MINAS GERAIS // ERIK ALMEIDA SILVERIO ALBERTO // MATHEUS EDUARDO FERREIRA // TRIBUNAL DE JUSTIÇA DO ESTADO DE MINAS GERAIS</t>
  </si>
  <si>
    <t>AREsp829764</t>
  </si>
  <si>
    <t>ES</t>
  </si>
  <si>
    <t>MINISTÉRIO PÚBLICO DO ESTADO DO ESPÍRITO SANTO // RAONY JOSE KLEN</t>
  </si>
  <si>
    <t>DEFENSORIA PÚBLICA DO ESTADO DO ESPÍRITO SANTO</t>
  </si>
  <si>
    <t>HC333458</t>
  </si>
  <si>
    <t>DEFENSORIA PÚBLICA DO ESTADO DE SÃO PAULO // LEANDRO MAURICIO FERREIRA // TRIBUNAL DE JUSTIÇA DO ESTADO DE SÃO PAULO</t>
  </si>
  <si>
    <t>AREsp607277</t>
  </si>
  <si>
    <t>FLAVIANO DE MELO PORTO // MINISTÉRIO PÚBLICO DO ESTADO DE SÃO PAULO</t>
  </si>
  <si>
    <t>FABIANO PEREIRA GERALDO // FABIANO PEREIRA GERALDO // MINISTÉRIO PÚBLICO DO ESTADO DE MINAS GERAIS</t>
  </si>
  <si>
    <t>AREsp628630</t>
  </si>
  <si>
    <t>Newton Trisotto (Desembargador Convocado do TJ/SC)</t>
  </si>
  <si>
    <t>MINISTÉRIO PÚBLICO DO ESTADO DE MINAS GERAIS // RODRIGO CÂNDIDO</t>
  </si>
  <si>
    <t>REsp1483490</t>
  </si>
  <si>
    <t>ALEX SANDRO PAZ DE ABREU // MAX LIDIOMAR ROSA DIAS // MINISTÉRIO PÚBLICO DO ESTADO DO RIO GRANDE DO SUL</t>
  </si>
  <si>
    <t>HC330970</t>
  </si>
  <si>
    <t>DEFENSORIA PÚBLICA DO ESTADO DE SÃO PAULO // RENATA ANGELA ROCHA // TRIBUNAL DE JUSTIÇA DO ESTADO DE SÃO PAULO</t>
  </si>
  <si>
    <t>REsp1519867</t>
  </si>
  <si>
    <t>CLODOALDO BARROS DOS SANTOS // MAURO AURÉLIO RAMOS PEDROZO // MINISTÉRIO PÚBLICO DO ESTADO DO RIO GRANDE DO SUL</t>
  </si>
  <si>
    <t>AREsp628707</t>
  </si>
  <si>
    <t>CRELIO SANTOS DA SILVA // MINISTÉRIO PÚBLICO DO ESTADO DE SÃO PAULO</t>
  </si>
  <si>
    <t>HC347204</t>
  </si>
  <si>
    <t>DEFENSORIA PÚBLICA DO ESTADO DE SÃO PAULO // GERALDO BRIANI DA SILVA FILHO // TRIBUNAL DE JUSTIÇA DO ESTADO DE SÃO PAULO</t>
  </si>
  <si>
    <t>HC364141</t>
  </si>
  <si>
    <t>CRISTIANO DA SILVA DOS SANTOS // DEFENSORIA PÚBLICA DO ESTADO DE SÃO PAULO // TRIBUNAL DE JUSTIÇA DO ESTADO DE SÃO PAULO</t>
  </si>
  <si>
    <t>MINISTÉRIO PÚBLICO DO ESTADO DE MINAS GERAIS // SHEILLA VITAL CATARINO // VALDELICE VIEIRA DA SILVA</t>
  </si>
  <si>
    <t>AREsp648158</t>
  </si>
  <si>
    <t>JOSÉ ROSA CAMPOS NETO // MINISTÉRIO PÚBLICO DO ESTADO DE MINAS GERAIS</t>
  </si>
  <si>
    <t>AREsp691573</t>
  </si>
  <si>
    <t>ANTÔNIO EDNALDO AQUINO DE LIMA // EDENILTON RAMOS DA SILVA // MINISTERIO PÚBLICO DO ESTADO DE MATO GROSSO // WESLEY JESUS DOS SANTOS</t>
  </si>
  <si>
    <t>AREsp717588</t>
  </si>
  <si>
    <t>ALBERTO SILVA MARTINS // ALBERTO SILVA MARTINS // MINISTÉRIO PÚBLICO DO DISTRITO FEDERAL E TERRITÓRIOS</t>
  </si>
  <si>
    <t>MARIANA RODRIGUES GUERRA // RICARDO AFONSO BRANCO RAMOS PINTO</t>
  </si>
  <si>
    <t>MINISTÉRIO PÚBLICO DO ESTADO DO RIO GRANDE DO SUL // PABLO DA SILVA MORAIS</t>
  </si>
  <si>
    <t>AREsp560033</t>
  </si>
  <si>
    <t>LUCAS BRAGA BATISTA // MINISTÉRIO PÚBLICO DO ESTADO DO RIO GRANDE DO SUL</t>
  </si>
  <si>
    <t>AREsp680266</t>
  </si>
  <si>
    <t>GERSON NILSON SILVA SANTOS // MINISTERIO PÚBLICO DO ESTADO DE MATO GROSSO</t>
  </si>
  <si>
    <t>HC319265</t>
  </si>
  <si>
    <t>DEFENSORIA PÚBLICA DO ESTADO DE SÃO PAULO // MARCELO ANTONIO PEREIRA // TRIBUNAL DE JUSTIÇA DO ESTADO DE SÃO PAULO</t>
  </si>
  <si>
    <t>HC342485</t>
  </si>
  <si>
    <t>ANOUAR EL AZAMI // DEFENSORIA PÚBLICA DO ESTADO DE SÃO PAULO // SAMIR EL ALAMI // TRIBUNAL DE JUSTIÇA DO ESTADO DE SÃO PAULO</t>
  </si>
  <si>
    <t>HC332785</t>
  </si>
  <si>
    <t>ALEXSANDRO DE OLIVEIRA FERNANDES // DEFENSORIA PÚBLICA DO ESTADO DE SÃO PAULO // DEFENSORIA PÚBLICA DO ESTADO DE SÃO PAULO // TRIBUNAL DE JUSTIÇA DO ESTADO DE SÃO PAULO</t>
  </si>
  <si>
    <t>REsp1492641</t>
  </si>
  <si>
    <t>LEONARDO SILVEIRA DE OLIVEIRA // MINISTÉRIO PÚBLICO DO ESTADO DO RIO GRANDE DO SUL // RAFAEL ALVES DA ROSA // RAFAEL ALVES DA ROSA</t>
  </si>
  <si>
    <t>HC331548</t>
  </si>
  <si>
    <t>DEFENSORIA PÚBLICA DA UNIÃO // MANOEL MESSIAS PEREIRA DOS SANTOS // TRIBUNAL DE JUSTIÇA DO ESTADO DE MINAS GERAIS</t>
  </si>
  <si>
    <t>DEFENSORIA PÚBLICA DA UNIÃO</t>
  </si>
  <si>
    <t>HC308816</t>
  </si>
  <si>
    <t>DEFENSORIA PÚBLICA DO ESTADO DE MATO GROSSO DO SUL // HELENO LUGON RONDON DA SILVA // TRIBUNAL DE JUSTIÇA DO ESTADO DE MATO GROSSO DO SUL</t>
  </si>
  <si>
    <t>JESUS TEIXEIRA SÁ SILVA NETO // MINISTÉRIO PÚBLICO DO DISTRITO FEDERAL E TERRITÓRIOS // PAULO HENRIQUE RAMOS BARBOSA // UMILSON GONÇALVES DA SILVA</t>
  </si>
  <si>
    <t>HC344405</t>
  </si>
  <si>
    <t>ALEXANDRO RIBEIRO VAZ // DEFENSORIA PÚBLICA DO ESTADO DE SANTA CATARINA // TRIBUNAL DE JUSTIÇA DO ESTADO DE SANTA CATARINA</t>
  </si>
  <si>
    <t>AREsp683003</t>
  </si>
  <si>
    <t>AL</t>
  </si>
  <si>
    <t>ALEX VITAL DA SILVA // MINISTÉRIO PÚBLICO DO ESTADO DE ALAGOAS</t>
  </si>
  <si>
    <t>DEFENSORIA PÚBLICA DO ESTADO DE ALAGOAS</t>
  </si>
  <si>
    <t>MINISTÉRIO PÚBLICO DO ESTADO DE MINAS GERAIS // RAMON SANTANA // RAMON SANTANA</t>
  </si>
  <si>
    <t>AREsp886122</t>
  </si>
  <si>
    <t>FABIANO FERREIRA DE SOUZA // MINISTÉRIO PÚBLICO DO ESTADO DE SÃO PAULO</t>
  </si>
  <si>
    <t xml:space="preserve">RHC   </t>
  </si>
  <si>
    <t>RHC   75005</t>
  </si>
  <si>
    <t>CEZAR DA COSTA PAIVA // MINISTÉRIO PÚBLICO DO ESTADO DE MINAS GERAIS</t>
  </si>
  <si>
    <t>REsp1503900</t>
  </si>
  <si>
    <t>AGNALDO CRISTIANO DE OLIVEIRA // AGNALDO CRISTIANO DE OLIVEIRA // JÚNIOR VALERIANO APARECIDA // MINISTÉRIO PÚBLICO DO ESTADO DE MINAS GERAIS // NELSON OLÍMPIO DE CARVALHO</t>
  </si>
  <si>
    <t>ADIVO LAUDEGI PINHEIRO // MINISTÉRIO PÚBLICO DO ESTADO DO ESPÍRITO SANTO</t>
  </si>
  <si>
    <t>AREsp944488</t>
  </si>
  <si>
    <t>MINISTÉRIO PÚBLICO DO ESTADO DE MINAS GERAIS // WANDERSON SANCHES DA SILVA</t>
  </si>
  <si>
    <t>REsp1505092</t>
  </si>
  <si>
    <t>GILBERTO FERREIRA LIMA // MINISTÉRIO PÚBLICO DO ESTADO DE MINAS GERAIS</t>
  </si>
  <si>
    <t>REsp1513100</t>
  </si>
  <si>
    <t>GENTIL DIAS CARVALHO // MINISTÉRIO PÚBLICO DO ESTADO DO RIO GRANDE DO SUL</t>
  </si>
  <si>
    <t>HC311358</t>
  </si>
  <si>
    <t>DANIEL OLIVEIRA DE SOUZA // DEFENSORIA PÚBLICA DO ESTADO DO RIO GRANDE DO SUL // GILMAR DE LIZ E SOUZA // TRIBUNAL DE JUSTIÇA DO ESTADO DO RIO GRANDE DO SUL</t>
  </si>
  <si>
    <t>REsp1471784</t>
  </si>
  <si>
    <t>MINISTÉRIO PÚBLICO DO ESTADO DE MINAS GERAIS // WALISSON DA SILVA SANTOS</t>
  </si>
  <si>
    <t>REsp1524468</t>
  </si>
  <si>
    <t>CRISTINA FERREIRA GUIMARÃES // MINISTÉRIO PÚBLICO DO ESTADO DE MINAS GERAIS</t>
  </si>
  <si>
    <t>REsp1471511</t>
  </si>
  <si>
    <t>GO</t>
  </si>
  <si>
    <t>DIREITO PENAL : Crimes contra o Patrimônio : Furto Privilegiado</t>
  </si>
  <si>
    <t>ELIAS FERREIRA DA HORA // ELIAS FERREIRA DA HORA // ELIAS FERREIRA DA HORA // ELIAS PEREIRA DA HORA // MINISTÉRIO PÚBLICO DO ESTADO DE GOIÁS</t>
  </si>
  <si>
    <t>AREsp703398</t>
  </si>
  <si>
    <t>EZEQUIEL RODRIGUES TEIXEIRA // MINISTÉRIO PÚBLICO DO ESTADO DE MINAS GERAIS</t>
  </si>
  <si>
    <t>HC349480</t>
  </si>
  <si>
    <t>ANASTACIO JUNIOR LEONARDO ARRAIS // DEFENSORIA PÚBLICA DO ESTADO DE SÃO PAULO // TRIBUNAL DE JUSTIÇA DO ESTADO DE SÃO PAULO</t>
  </si>
  <si>
    <t>DEFENSORIA PÚBLICA DO ESTADO DE SÃO PAULO // JOSÉ CARLOS DA SILVA // TRIBUNAL DE JUSTIÇA DO ESTADO DE SÃO PAULO</t>
  </si>
  <si>
    <t>REsp1482996</t>
  </si>
  <si>
    <t>DALMO SANDIN JUNIOR // DALMO SANDIN JUNIOR // MINISTÉRIO PÚBLICO DO ESTADO DE MINAS GERAIS</t>
  </si>
  <si>
    <t>HC341327</t>
  </si>
  <si>
    <t>DEFENSORIA PÚBLICA DO ESTADO DE SÃO PAULO // FABIO EVANDRO FERREIRA HENRIQUE // TRIBUNAL DE JUSTIÇA DO ESTADO DE SÃO PAULO</t>
  </si>
  <si>
    <t>REsp1487199</t>
  </si>
  <si>
    <t>MINISTÉRIO PÚBLICO DO ESTADO DE MINAS GERAIS // WALMOR FELIPE DA SILVA // WALMOR FELIPE DA SILVA</t>
  </si>
  <si>
    <t>HC305914</t>
  </si>
  <si>
    <t>DEFENSORIA PÚBLICA DO ESTADO DE MATO GROSSO DO SUL // JACKSON RAMOS DA SILVA // TRIBUNAL DE JUSTIÇA DO ESTADO DE MATO GROSSO DO SUL</t>
  </si>
  <si>
    <t>AREsp630098</t>
  </si>
  <si>
    <t>MINISTÉRIO PÚBLICO DO ESTADO DE MINAS GERAIS // REGINALDO SILVA SILVEIRA</t>
  </si>
  <si>
    <t>CLAUDEMIR SANDRO DE ARAÚJO // MINISTÉRIO PÚBLICO DO DISTRITO FEDERAL E TERRITÓRIOS</t>
  </si>
  <si>
    <t>HC329491</t>
  </si>
  <si>
    <t>DEFENSORIA PÚBLICA DO ESTADO DO RIO DE JANEIRO // JOÃO FABIO BARCELOS BUENO // TRIBUNAL DE JUSTIÇA DO ESTADO DO RIO DE JANEIRO</t>
  </si>
  <si>
    <t>AREsp699117</t>
  </si>
  <si>
    <t>CRISTIANO DA SILVA // CRISTIANO DA SILVA // MINISTÉRIO PÚBLICO DO ESTADO DO RIO GRANDE DO SUL // NELSON SELVINO DA SILVA</t>
  </si>
  <si>
    <t>HC311139</t>
  </si>
  <si>
    <t>ALECSANDRO PEREIRA // ANDRÉ RODRIGUES DE ARAÚJO // DEFENSORIA PÚBLICA DO ESTADO DE SÃO PAULO // TRIBUNAL DE JUSTIÇA DO ESTADO DE SÃO PAULO</t>
  </si>
  <si>
    <t>AREsp643109</t>
  </si>
  <si>
    <t>ALEX PINHEIRO DOS SANTOS // MINISTÉRIO PÚBLICO DO ESTADO DO RIO GRANDE DO SUL</t>
  </si>
  <si>
    <t>RHC   54490</t>
  </si>
  <si>
    <t>MINISTÉRIO PÚBLICO DO ESTADO DE MINAS GERAIS // WAGNER ANTÔNIO DOS REIS // WAGNER ANTÔNIO DOS REIS</t>
  </si>
  <si>
    <t>AREsp617128</t>
  </si>
  <si>
    <t>MINISTÉRIO PÚBLICO DO ESTADO DE MINAS GERAIS // VICENTE RAFAEL DE PAULA</t>
  </si>
  <si>
    <t>REsp1529765</t>
  </si>
  <si>
    <t>JOSÉ MAURÍCIO MARINI // MINISTÉRIO PÚBLICO DO ESTADO DE SÃO PAULO</t>
  </si>
  <si>
    <t>AREsp682177</t>
  </si>
  <si>
    <t>LUIZ REGINALDO DA SILVA // MINISTERIO PÚBLICO DO ESTADO DE MATO GROSSO</t>
  </si>
  <si>
    <t>E M DA S // E M DA S // EVANDRO MAGALHÃES DA SILVA // EVANDRO MAGALHÃES DA SILVA // EVANDRO MAGALHÃES DA SILVA // MINISTÉRIO PÚBLICO DO DISTRITO FEDERAL E TERRITÓRIOS</t>
  </si>
  <si>
    <t>REsp1593299</t>
  </si>
  <si>
    <t>JOCIMAR DA SILVA BARRETO // MINISTÉRIO PÚBLICO DO ESTADO DO RIO DE JANEIRO</t>
  </si>
  <si>
    <t>AREsp660240</t>
  </si>
  <si>
    <t>MINISTÉRIO PÚBLICO DO ESTADO DE MINAS GERAIS // ROGÉRIO LUIZ DO CARMO</t>
  </si>
  <si>
    <t>JONAS SOUSA ALENCAR // JONAS SOUSA ALENCAR // MINISTERIO PÚBLICO DO ESTADO DE MATO GROSSO</t>
  </si>
  <si>
    <t>REsp1478043</t>
  </si>
  <si>
    <t>JEFERSON BEZERRA DA SILVA // MINISTÉRIO PÚBLICO DO DISTRITO FEDERAL E TERRITÓRIOS // SÉRGIO MAGNO BEZERRA DA SILVA // SÉRGIO MAGNO BEZERRA DA SILVA</t>
  </si>
  <si>
    <t>MARIO JOSE IBARRA RAMIRES // MINISTÉRIO PÚBLICO DO ESTADO DO RIO GRANDE DO SUL</t>
  </si>
  <si>
    <t>HC340552</t>
  </si>
  <si>
    <t>DEFENSORIA PÚBLICA DO ESTADO DE SÃO PAULO // RODRIGO ASSUNÇÃO DA SILVA // TRIBUNAL DE JUSTIÇA DO ESTADO DE SÃO PAULO</t>
  </si>
  <si>
    <t>REsp1519857</t>
  </si>
  <si>
    <t>ANTÔNIO MARCOS COUTINHO RAMOS // DAVI DA CUNHA FELISBERTO // MINISTÉRIO PÚBLICO DO ESTADO DO RIO DE JANEIRO // WALDEIR NUNES DE SOUZA</t>
  </si>
  <si>
    <t>DOUGLAS MATIAS DA SILVA // DOUGLAS MATIAS DA SILVA // MINISTÉRIO PÚBLICO DO DISTRITO FEDERAL E TERRITÓRIOS</t>
  </si>
  <si>
    <t>THIAGO ALMEIDA MORATO MENDONÇA</t>
  </si>
  <si>
    <t>HC321197</t>
  </si>
  <si>
    <t>DEFENSORIA PÚBLICA DO ESTADO DO RIO GRANDE DO SUL // DIEGO RICARDO SCHROER // TRIBUNAL DE JUSTIÇA DO ESTADO DO RIO GRANDE DO SUL</t>
  </si>
  <si>
    <t>EDSON JOSÉ DOS SANTOS // MINISTÉRIO PÚBLICO DO ESTADO DE MINAS GERAIS</t>
  </si>
  <si>
    <t>HC311145</t>
  </si>
  <si>
    <t>CLAUDIANO DE OLIVEIRA LOPES // CLAUDIANO DE OLIVEIRA LOPES // DEFENSORIA PÚBLICA DO ESTADO DE MATO GROSSO DO SUL // TRIBUNAL DE JUSTIÇA DO ESTADO DE MATO GROSSO DO SUL</t>
  </si>
  <si>
    <t>AREsp608994</t>
  </si>
  <si>
    <t>JUAN MILLER DA SILVA NEVES // MÁRCIO GODINHO // MINISTÉRIO PÚBLICO DO ESTADO DE MINAS GERAIS</t>
  </si>
  <si>
    <t>AREsp680503</t>
  </si>
  <si>
    <t>ANA PAULA LAURETH SANTOS // MINISTÉRIO PÚBLICO DO ESTADO DE SANTA CATARINA // SILVANO MENDONÇA</t>
  </si>
  <si>
    <t>BA</t>
  </si>
  <si>
    <t>AREsp611312</t>
  </si>
  <si>
    <t>MINISTÉRIO PÚBLICO DO ESTADO DE MINAS GERAIS // REGINALDO ALVES QUEIROZ</t>
  </si>
  <si>
    <t>HC354227</t>
  </si>
  <si>
    <t>HC303807</t>
  </si>
  <si>
    <t>DEFENSORIA PÚBLICA DO ESTADO DO RIO GRANDE DO SUL // JAIR TARQUINO BUENO DO AMARAL // TRIBUNAL DE JUSTIÇA DO ESTADO DO RIO GRANDE DO SUL</t>
  </si>
  <si>
    <t>HC301240</t>
  </si>
  <si>
    <t>DEFENSORIA PÚBLICA DO ESTADO DE SÃO PAULO // TRIBUNAL DE JUSTIÇA DO ESTADO DE SÃO PAULO // VANESSA DOS REIS SANTANA</t>
  </si>
  <si>
    <t>AREsp698978</t>
  </si>
  <si>
    <t>MINISTÉRIO PÚBLICO DO ESTADO DE SÃO PAULO // RAFAEL DE ALMEIDA SANTOS</t>
  </si>
  <si>
    <t>HC318935</t>
  </si>
  <si>
    <t>DOMINGOS ESTEVES JUNIOR // ERICO DELLA GATTA // TRIBUNAL DE JUSTIÇA DO ESTADO DE SÃO PAULO</t>
  </si>
  <si>
    <t>ERICO DELLA GATTA</t>
  </si>
  <si>
    <t>DEFENSORIA PÚBLICA DO ESTADO DO RIO DE JANEIRO // TRIBUNAL DE JUSTIÇA DO ESTADO DO RIO DE JANEIRO // VANDERSON SANTOS DE LIMA</t>
  </si>
  <si>
    <t>AREsp698593</t>
  </si>
  <si>
    <t>ANALISIO SANDRO VIKROSKI // MINISTÉRIO PÚBLICO DO ESTADO DO RIO GRANDE DO SUL // PAULO MATEUS NUNES SEVERINO // PAULO MATEUS NUNES SEVERINO // SUPERMERCADOS SUPERBRAS LTDA</t>
  </si>
  <si>
    <t>AREsp884635</t>
  </si>
  <si>
    <t>MINISTÉRIO PÚBLICO DO ESTADO DE MINAS GERAIS // WEDERSON ROBERTO NUNES</t>
  </si>
  <si>
    <t>AREsp683228</t>
  </si>
  <si>
    <t>ALEXSANDRO PONTES DA SILVA // ALEXSANDRO PONTES DA SILVA // MINISTERIO PÚBLICO DO ESTADO DE MATO GROSSO</t>
  </si>
  <si>
    <t>DEFENSORIA PÚBLICA DO ESTADO DO ESPÍRITO SANTO // ELAINE ARAUJO GOMES // RAFAELA COSTA SANTANA // TRIBUNAL DE JUSTIÇA DO ESTADO DO ESPÍRITO SANTO</t>
  </si>
  <si>
    <t>FABRÍCIO HENRIQUE DE SOUZA // FABRÍCIO HENRIQUE DE SOUZA // MINISTÉRIO PÚBLICO DO ESTADO DE MINAS GERAIS</t>
  </si>
  <si>
    <t>AREsp609098</t>
  </si>
  <si>
    <t>MINISTÉRIO PÚBLICO DO ESTADO DE MINAS GERAIS // SÉRGIO NOVAIS DA SILVA</t>
  </si>
  <si>
    <t>AREsp602986</t>
  </si>
  <si>
    <t>MARINETE DE JESUS RODRIGUES CRUZ // MARINETE DE JESUS RODRIGUES CRUZ // MINISTÉRIO PÚBLICO DO DISTRITO FEDERAL E TERRITÓRIOS</t>
  </si>
  <si>
    <t>REsp1531057</t>
  </si>
  <si>
    <t>EDIMAR DE BORBA FERNANDES // MINISTÉRIO PÚBLICO DO ESTADO DO RIO GRANDE DO SUL</t>
  </si>
  <si>
    <t>AgInt</t>
  </si>
  <si>
    <t>MAURÍLIO MARTINS FERREIRA // MINISTÉRIO PÚBLICO DO DISTRITO FEDERAL E TERRITÓRIOS</t>
  </si>
  <si>
    <t>HC347014</t>
  </si>
  <si>
    <t>DEFENSORIA PÚBLICA DO ESTADO DE SANTA CATARINA // JULIANO ALVES DE CAMPOS PERCHIN // TRIBUNAL DE JUSTIÇA DO ESTADO DE SANTA CATARINA</t>
  </si>
  <si>
    <t>HC351033</t>
  </si>
  <si>
    <t>DEFENSORIA PÚBLICA DO ESTADO DE SÃO PAULO // GABRIEL BARRETO MIRANDA // TRIBUNAL DE JUSTIÇA DO ESTADO DE SÃO PAULO</t>
  </si>
  <si>
    <t>BENILSON RAMIRO DOS SANTOS // MINISTÉRIO PÚBLICO DO ESTADO DE MATO GROSSO DO SUL</t>
  </si>
  <si>
    <t>REsp1531157</t>
  </si>
  <si>
    <t>LUCIANA DE FARIAS MEIRELLES // MINISTÉRIO PÚBLICO DO ESTADO DO RIO GRANDE DO SUL // TIAGO CONCEIÇÃO DA SILVA</t>
  </si>
  <si>
    <t>HC313850</t>
  </si>
  <si>
    <t>AMAURI ANTONIO BITENCURT // DIEGO WARMLING VALGAS // TRIBUNAL DE JUSTIÇA DO ESTADO DE SANTA CATARINA</t>
  </si>
  <si>
    <t>DIEGO WARMLING VALGAS</t>
  </si>
  <si>
    <t>HC322552</t>
  </si>
  <si>
    <t>DEFENSORIA PÚBLICA DA UNIÃO // ENEZIO BARBOSA DE ARAUJO // LUCAS CARVALHO PALHARES // TRIBUNAL DE JUSTIÇA DO ESTADO DE MINAS GERAIS</t>
  </si>
  <si>
    <t>AREsp670526</t>
  </si>
  <si>
    <t>JOARES VILHALVA DOS SANTOS // JOARES VILHALVA DOS SANTOS // MINISTÉRIO PÚBLICO DO ESTADO DE MATO GROSSO DO SUL</t>
  </si>
  <si>
    <t>AREsp557424</t>
  </si>
  <si>
    <t>DEIVERSON DOS SANTOS // MINISTÉRIO PÚBLICO DO ESTADO DE MINAS GERAIS</t>
  </si>
  <si>
    <t>AREsp692978</t>
  </si>
  <si>
    <t>JEFFERSON LOPES CARVALHO // MÁRCIO AUGUSTO MACHADO SOARES // MINISTÉRIO PÚBLICO DO ESTADO DE SÃO PAULO</t>
  </si>
  <si>
    <t>REsp1483820</t>
  </si>
  <si>
    <t>MINISTÉRIO PÚBLICO DO ESTADO DE MINAS GERAIS // SEBASTIÃO HENRIQUE TIAGO ROCHA</t>
  </si>
  <si>
    <t>AREsp601849</t>
  </si>
  <si>
    <t>HC339479</t>
  </si>
  <si>
    <t>DEFENSORIA PÚBLICA DO ESTADO DE SÃO PAULO // LARISSA DOMINGOS DOS SANTOS SILVA // TRIBUNAL DE JUSTIÇA DO ESTADO DE SÃO PAULO</t>
  </si>
  <si>
    <t>HC327347</t>
  </si>
  <si>
    <t>DEFENSORIA PÚBLICA DO ESTADO DE SÃO PAULO // RODRIGO FONSECA SOARES // TRIBUNAL DE JUSTIÇA DO ESTADO DE SÃO PAULO</t>
  </si>
  <si>
    <t>HC329439</t>
  </si>
  <si>
    <t>PR</t>
  </si>
  <si>
    <t>LEANDRO DOS SANTOS // SÁVIO ARAUJO DE LEMOS SILVA // TRIBUNAL DE JUSTIÇA DO ESTADO DO PARANÁ</t>
  </si>
  <si>
    <t>AREsp611063</t>
  </si>
  <si>
    <t>GUSTAVO LUIZ PEREIRA // MINISTÉRIO PÚBLICO DO ESTADO DE MINAS GERAIS</t>
  </si>
  <si>
    <t>HC309905</t>
  </si>
  <si>
    <t>DEFENSORIA PÚBLICA DO ESTADO DE SÃO PAULO // MARIVALDO DE JESUS // TRIBUNAL DE JUSTIÇA DO ESTADO DE SÃO PAULO</t>
  </si>
  <si>
    <t>HC345177</t>
  </si>
  <si>
    <t>DEFENSORIA PÚBLICA DO ESTADO DE SÃO PAULO // TRIBUNAL DE JUSTIÇA DO ESTADO DE SÃO PAULO // VALTER SANTOS DE MENEZES</t>
  </si>
  <si>
    <t>HC310219</t>
  </si>
  <si>
    <t>DAVI BATISTA DO NASCIMENTO // DEFENSORIA PÚBLICA DA UNIÃO // TRIBUNAL DE JUSTIÇA DO ESTADO DE MINAS GERAIS</t>
  </si>
  <si>
    <t>MICHEL RODRIGUES // MICHEL RODRIGUES // MINISTÉRIO PÚBLICO DO ESTADO DO ESPÍRITO SANTO</t>
  </si>
  <si>
    <t>AREsp610600</t>
  </si>
  <si>
    <t>GLEISON GONÇALVES SILVA // MINISTÉRIO PÚBLICO DO ESTADO DE MINAS GERAIS</t>
  </si>
  <si>
    <t>SIM</t>
  </si>
  <si>
    <t>DIREITO DA CRIANÇA E DO ADOLESCENTE : Ato Infracional : Contra o Patrimônio : Furto (art. 155)</t>
  </si>
  <si>
    <t>AREsp592987</t>
  </si>
  <si>
    <t>GENIVALDO DA SILVA GOIS // MINISTÉRIO PÚBLICO DO DISTRITO FEDERAL E TERRITÓRIOS</t>
  </si>
  <si>
    <t>AREsp648155</t>
  </si>
  <si>
    <t>JANETE DAS MERCÊS TEODORO // MINISTÉRIO PÚBLICO DO ESTADO DE MINAS GERAIS</t>
  </si>
  <si>
    <t>REsp1525407</t>
  </si>
  <si>
    <t>EDER SILVEIRA // MINISTÉRIO PÚBLICO DO ESTADO DO RIO GRANDE DO SUL</t>
  </si>
  <si>
    <t>HC325003</t>
  </si>
  <si>
    <t>DJALMA DE CARVALHO MESSIAS // LEANDHER RENZETE // TRIBUNAL DE JUSTIÇA DO ESTADO DE SÃO PAULO</t>
  </si>
  <si>
    <t>DJALMA DE CARVALHO MESSIAS</t>
  </si>
  <si>
    <t>AREsp555560</t>
  </si>
  <si>
    <t>LEANDRO GUSTAVO DE SOUZA // LEANDRO GUSTAVO DE SOUZA // MINISTÉRIO PÚBLICO DO ESTADO DE SÃO PAULO</t>
  </si>
  <si>
    <t>AREsp609043</t>
  </si>
  <si>
    <t>ALEXANDRE OLIVEIRA DO NASCIMENTO // MINISTÉRIO PÚBLICO DO ESTADO DE MINAS GERAIS</t>
  </si>
  <si>
    <t>AREsp651379</t>
  </si>
  <si>
    <t>JOSÉ SANTOS DE OLIVEIRA // JOSÉ SANTOS DE OLIVEIRA // MINISTÉRIO PÚBLICO DO ESTADO DE MINAS GERAIS</t>
  </si>
  <si>
    <t>REsp1508054</t>
  </si>
  <si>
    <t>EDGAR RODRIGUES TEIXEIRA // EDGAR RODRIGUES TEIXEIRA // EDGAR RODRIGUES TEIXEIRA // MINISTÉRIO PÚBLICO DO ESTADO DE MINAS GERAIS</t>
  </si>
  <si>
    <t>AREsp680741</t>
  </si>
  <si>
    <t>ELSON DE SOUSA // GERSON AUGUSTO RIBEIRO // GERSON AUGUSTO RIBEIRO // MINISTÉRIO PÚBLICO DO ESTADO DE MINAS GERAIS</t>
  </si>
  <si>
    <t>AREsp616885</t>
  </si>
  <si>
    <t>BEATRIZ RODRIGUES DE BRITO // LIDEVAL FERREIRA BRAGA // MINISTÉRIO PÚBLICO DO DISTRITO FEDERAL E TERRITÓRIOS</t>
  </si>
  <si>
    <t>RHC   50643</t>
  </si>
  <si>
    <t>ISABEL CRISTINA DEZAN // MINISTÉRIO PÚBLICO DO ESTADO DE MATO GROSSO DO SUL // REGINA CÉLIA DEZAN DA FONSECA</t>
  </si>
  <si>
    <t>ANDERSON LUIZ MARTINS FERREIRA // MINISTÉRIO PÚBLICO DO ESTADO DE MINAS GERAIS</t>
  </si>
  <si>
    <t>DEFENSORIA PÚBLICA DO ESTADO DA BAHIA</t>
  </si>
  <si>
    <t>MINISTÉRIO PÚBLICO DO ESTADO DE MINAS GERAIS // WERNERSON DIAS DOS ANJOS // WERNERSON DIAS DOS ANJOS</t>
  </si>
  <si>
    <t>AREsp609584</t>
  </si>
  <si>
    <t>MINISTÉRIO PÚBLICO DO ESTADO DE MINAS GERAIS // MOZAIR JÚNIO PINTO PESSOA</t>
  </si>
  <si>
    <t>HC330711</t>
  </si>
  <si>
    <t>CARLOS EDUARDO DOUGLAS SOUZA DA SILVA // DEFENSORIA PÚBLICA DO ESTADO DE MATO GROSSO DO SUL // TRIBUNAL DE JUSTIÇA DO ESTADO DE MATO GROSSO DO SUL</t>
  </si>
  <si>
    <t>AREsp637504</t>
  </si>
  <si>
    <t>HEBER FRANCISCO POLICARPO // HEBER FRANCISCO POLICARPO // MINISTÉRIO PÚBLICO DO DISTRITO FEDERAL E TERRITÓRIOS</t>
  </si>
  <si>
    <t>AREsp610955</t>
  </si>
  <si>
    <t>ANDERSON RODRIGO VITURIANO // MINISTÉRIO PÚBLICO DO ESTADO DE SÃO PAULO</t>
  </si>
  <si>
    <t>AREsp678125</t>
  </si>
  <si>
    <t>HC336344</t>
  </si>
  <si>
    <t>DEFENSORIA PÚBLICA DO ESTADO DE MATO GROSSO DO SUL // TRIBUNAL DE JUSTIÇA DO ESTADO DE MATO GROSSO DO SUL // UILLIAM BECALETTO // UILLIAN BECALETTO</t>
  </si>
  <si>
    <t>AREsp685494</t>
  </si>
  <si>
    <t>CRISTIANO JOSÉ DOS SANTOS LUIZ // MINISTÉRIO PÚBLICO DO ESTADO DE MINAS GERAIS</t>
  </si>
  <si>
    <t>AREsp639892</t>
  </si>
  <si>
    <t>DIOGO MENDONÇA CIDREIRA // DIOGO MENDONÇA CIDREIRA // MINISTERIO PÚBLICO DO ESTADO DE MATO GROSSO</t>
  </si>
  <si>
    <t>AREsp562223</t>
  </si>
  <si>
    <t>ANDRÉ NEVES DE LIMA // ANDRÉ NEVES DE LIMA // MINISTÉRIO PÚBLICO DO ESTADO DO RIO GRANDE DO SUL // ROGER BRUNO CIURO</t>
  </si>
  <si>
    <t>REsp1483956</t>
  </si>
  <si>
    <t>KEYLA JUNIA JANUÁRIO // MINISTÉRIO PÚBLICO DO ESTADO DE MINAS GERAIS</t>
  </si>
  <si>
    <t>EDSON DA SILVA DE OLIVEIRA // IVAI DA SILVA FILHO // IVAI DA SILVA FILHO // MINISTÉRIO PÚBLICO DO ESTADO DE MINAS GERAIS</t>
  </si>
  <si>
    <t>MAILSON DE JESUS CRISPIM // MINISTÉRIO PÚBLICO DO ESTADO DE MINAS GERAIS</t>
  </si>
  <si>
    <t>REsp1519671</t>
  </si>
  <si>
    <t>MINISTÉRIO PÚBLICO DO ESTADO DO RIO GRANDE DO SUL // WILLIAN RAFAEL MARCONDES STEFFENS</t>
  </si>
  <si>
    <t>MINISTÉRIO PÚBLICO DO ESTADO DO RIO DE JANEIRO // NILTON TEIXEIRA MARQUES // NILTON TEIXEIRA MARQUES</t>
  </si>
  <si>
    <t>HC314902</t>
  </si>
  <si>
    <t>DEFENSORIA PÚBLICA DO ESTADO DE MATO GROSSO DO SUL // EDILSON FRANCISCO DE OLIVEIRA // MARIA LUCIA DA SLVA // TRIBUNAL DE JUSTIÇA DO ESTADO DE MATO GROSSO DO SUL</t>
  </si>
  <si>
    <t>AREsp644525</t>
  </si>
  <si>
    <t>GUILHERME DA CRUZ LOPES // MINISTÉRIO PÚBLICO DO ESTADO DE MINAS GERAIS</t>
  </si>
  <si>
    <t>MARY LAURA DE SOUZA GONÇALVES // MINISTÉRIO PÚBLICO DO ESTADO DE SÃO PAULO</t>
  </si>
  <si>
    <t>HC330293</t>
  </si>
  <si>
    <t>ANILTON CABUCI DO NASCIMENTO DA SILVA // DEFENSORIA PÚBLICA DO ESTADO DE SÃO PAULO // TRIBUNAL DE JUSTIÇA DO ESTADO DE SÃO PAULO</t>
  </si>
  <si>
    <t>HC317374</t>
  </si>
  <si>
    <t>DEFENSORIA PÚBLICA DO ESTADO DE SÃO PAULO // LUCAS DANIEL DOS SANTOS // TRIBUNAL DE JUSTIÇA DO ESTADO DE SÃO PAULO</t>
  </si>
  <si>
    <t>ADRIANA DE CARVALHO DIAS GONÇALVES // ALESSANDRA DE SENA GONÇALVES SILVA // ALESSANDRA DE SENA GONÇALVES SILVA // MINISTÉRIO PÚBLICO DO DISTRITO FEDERAL E TERRITÓRIOS</t>
  </si>
  <si>
    <t>AREsp681583</t>
  </si>
  <si>
    <t>FERNANDO MORENO DA CUNHA // MINISTÉRIO PÚBLICO DO ESTADO DE SÃO PAULO</t>
  </si>
  <si>
    <t>ANDERSON SANTOS RIBEIRO QUEIROZ // DEFENSORIA PÚBLICA DO ESTADO DE SÃO PAULO // TRIBUNAL DE JUSTIÇA DO ESTADO DE SÃO PAULO</t>
  </si>
  <si>
    <t>DEFENSORIA PÚBLICA DO ESTADO DE MATO GROSSO DO SUL // RENER MIRANDA GRANZE // TRIBUNAL DE JUSTIÇA DO ESTADO DE MATO GROSSO DO SUL</t>
  </si>
  <si>
    <t>AREsp684828</t>
  </si>
  <si>
    <t>EWERTON DE ALMEIDA LOPES // MINISTÉRIO PÚBLICO DO ESTADO DO RIO DE JANEIRO // VERÔNICA DE CARMEN PALLIGAS GARCIA</t>
  </si>
  <si>
    <t>MINISTÉRIO PÚBLICO DO ESTADO DE GOIÁS // WESLEY APARECIDO DA SILVA // WESLEY APARECIDO DA SILVA</t>
  </si>
  <si>
    <t>AREsp562234</t>
  </si>
  <si>
    <t>AREsp593065</t>
  </si>
  <si>
    <t>MINISTÉRIO PÚBLICO DO DISTRITO FEDERAL E TERRITÓRIOS // ROBSON ALMEIDA OLIVEIRA</t>
  </si>
  <si>
    <t>AREsp577354</t>
  </si>
  <si>
    <t>MARIA CRISTINA ARCANJO PIMENTA // MINISTÉRIO PÚBLICO DO ESTADO DE MINAS GERAIS // MURIEL SOUZA JESUS // MURIEL SOUZA JESUS</t>
  </si>
  <si>
    <t>REsp1500929</t>
  </si>
  <si>
    <t>MINISTÉRIO PÚBLICO DO ESTADO DE MINAS GERAIS // SAMUEL VIEIRA DA SILVA</t>
  </si>
  <si>
    <t>HC345775</t>
  </si>
  <si>
    <t>DEFENSORIA PÚBLICA DO ESTADO DE MATO GROSSO DO SUL // MARIA DE LOURDES RODRIGUES // TRIBUNAL DE JUSTIÇA DO ESTADO DE MATO GROSSO DO SUL</t>
  </si>
  <si>
    <t>MINISTÉRIO PÚBLICO DO ESTADO DE SÃO PAULO // WALLACE MILLER SALAGADO // WALLACE MULLER SALGADO</t>
  </si>
  <si>
    <t>REsp1511347</t>
  </si>
  <si>
    <t>MINISTÉRIO PÚBLICO DO ESTADO DO RIO DE JANEIRO // VANDERLEI DA CONCEIÇÃO RAMOS</t>
  </si>
  <si>
    <t>HC346238</t>
  </si>
  <si>
    <t>CATIUCIA DA SILVA // DEFENSORIA PÚBLICA DO ESTADO DO RIO GRANDE DO SUL // TRIBUNAL DE JUSTIÇA DO ESTADO DO RIO GRANDE DO SUL</t>
  </si>
  <si>
    <t>AREsp698968</t>
  </si>
  <si>
    <t>CLAUDEIR FIRMINO // MINISTÉRIO PÚBLICO DO ESTADO DE SÃO PAULO</t>
  </si>
  <si>
    <t>DEFENSORIA PÚBLICA DO ESTADO DE SÃO PAULO // THIAGO DE AGUIAR SANTOS // TRIBUNAL DE JUSTIÇA DO ESTADO DE SÃO PAULO</t>
  </si>
  <si>
    <t>ANTÔNIO MARCOS FERREIRA // LEANDRO DOS SANTOS // LEANDRO DOS SANTOS // MINISTÉRIO PÚBLICO DO ESTADO DE MINAS GERAIS</t>
  </si>
  <si>
    <t>HC341944</t>
  </si>
  <si>
    <t>DEFENSORIA PÚBLICA DO ESTADO DE MATO GROSSO DO SUL // KLERIO LUTIANI OLIVEIRA GARCIA // TRIBUNAL DE JUSTIÇA DO ESTADO DE MATO GROSSO DO SUL</t>
  </si>
  <si>
    <t>DAVI DE ALMEIDA RODRIGUES // MINISTÉRIO PÚBLICO DO ESTADO DO RIO GRANDE DO SUL</t>
  </si>
  <si>
    <t>EVALDO JOSÉ DA SILVA // EVALDO JOSÉ DA SILVA // JÉSSICA MARQUES BRITO // MINISTÉRIO PÚBLICO DO ESTADO DE MINAS GERAIS // OUDAIR JOSÉ DA SILVA</t>
  </si>
  <si>
    <t>AREsp576190</t>
  </si>
  <si>
    <t>ELI SANTIAGO BARBOSA // ELI SANTIAGO BARBOSA // MINISTÉRIO PÚBLICO DO DISTRITO FEDERAL E TERRITÓRIOS</t>
  </si>
  <si>
    <t>REsp1491381</t>
  </si>
  <si>
    <t>MINISTÉRIO PÚBLICO DO ESTADO DE MINAS GERAIS // W B R J // W B R J // WEBERT BELIZÁRIO RODRIGUES JÚNIOR</t>
  </si>
  <si>
    <t>AREsp610166</t>
  </si>
  <si>
    <t>LUÍS ANTÔNIO ALVES SANTANA // MINISTÉRIO PÚBLICO DO ESTADO DE MINAS GERAIS</t>
  </si>
  <si>
    <t>MICHELY ALVES CORREIA // MINISTÉRIO PÚBLICO DO DISTRITO FEDERAL E TERRITÓRIOS</t>
  </si>
  <si>
    <t>HC315647</t>
  </si>
  <si>
    <t>DEFENSORIA PÚBLICA DO ESTADO DE SÃO PAULO // EDSON ROGÉRIO DE MORAES // TRIBUNAL DE JUSTIÇA DO ESTADO DE SÃO PAULO</t>
  </si>
  <si>
    <t>AREsp608330</t>
  </si>
  <si>
    <t>HAECYO DIAS DA SILVA // HAECYO DIAS DA SILVA // MINISTÉRIO PÚBLICO DO DISTRITO FEDERAL E TERRITÓRIOS</t>
  </si>
  <si>
    <t>AREsp557509</t>
  </si>
  <si>
    <t>CARLOS HENRIQUE DOS SANTOS // CARLOS HENRIQUE DOS SANTOS // MINISTÉRIO PÚBLICO DO DISTRITO FEDERAL E TERRITÓRIOS</t>
  </si>
  <si>
    <t>HC340557</t>
  </si>
  <si>
    <t>DEFENSORIA PÚBLICA DO ESTADO DE SÃO PAULO // RENATO SIQUEIRA DE OLIVEIRA // TRIBUNAL DE JUSTIÇA DO ESTADO DE SÃO PAULO</t>
  </si>
  <si>
    <t>AREsp557348</t>
  </si>
  <si>
    <t>FÁBIO SANTOS E SANTOS // FÁBIO SANTOS E SANTOS // MINISTÉRIO PÚBLICO DO DISTRITO FEDERAL E TERRITÓRIOS</t>
  </si>
  <si>
    <t>BRUNO ALVES DA SILVA // BRUNO ALVES DA SILVA // MINISTÉRIO PÚBLICO DO ESTADO DE MINAS GERAIS</t>
  </si>
  <si>
    <t>HC318989</t>
  </si>
  <si>
    <t>DEFENSORIA PÚBLICA DO ESTADO DO RIO GRANDE DO SUL // DIEGO RODRIGUES OLIVEIRA // TRIBUNAL DE JUSTIÇA DO ESTADO DO RIO GRANDE DO SUL</t>
  </si>
  <si>
    <t>AREsp850177</t>
  </si>
  <si>
    <t>JORGE WILSON FREITAS DA SILVA // MINISTÉRIO PÚBLICO DO ESTADO DE SÃO PAULO</t>
  </si>
  <si>
    <t>AREsp557585</t>
  </si>
  <si>
    <t>LUIZ CARLOS DE ARRUDA // LUIZ CARLOS DE ARRUDA // MINISTÉRIO PÚBLICO DO ESTADO DE SÃO PAULO</t>
  </si>
  <si>
    <t>REsp1621368</t>
  </si>
  <si>
    <t>MINISTÉRIO PÚBLICO DO ESTADO DE SANTA CATARINA // ORIEDSON MENDES</t>
  </si>
  <si>
    <t>MINISTÉRIO PÚBLICO DO ESTADO DE MINAS GERAIS // RENATO DIAS DOS SANTOS // RENATO DOS SANTOS DIAS</t>
  </si>
  <si>
    <t>HC301089</t>
  </si>
  <si>
    <t>DEFENSORIA PÚBLICA DO ESTADO DO RIO GRANDE DO SUL // PATRICIA HENRIQUES SEVERO // TRIBUNAL DE JUSTIÇA DO ESTADO DO RIO GRANDE DO SUL</t>
  </si>
  <si>
    <t>DEFENSORIA PÚBLICA DO ESTADO DE MATO GROSSO DO SUL // RONALDO DA SILVA OLIVEIRA // TRIBUNAL DE JUSTIÇA DO ESTADO DE MATO GROSSO DO SUL</t>
  </si>
  <si>
    <t>HC338164</t>
  </si>
  <si>
    <t>ANDRE ROMEIRO DE QUEIROZ // DEFENSORIA PÚBLICA DO ESTADO DE MATO GROSSO DO SUL // TRIBUNAL DE JUSTIÇA DO ESTADO DE MATO GROSSO DO SUL</t>
  </si>
  <si>
    <t>AREsp685926</t>
  </si>
  <si>
    <t>CLEITON JOSÉ DA SILVA // MINISTÉRIO PÚBLICO DO ESTADO DE MINAS GERAIS</t>
  </si>
  <si>
    <t>AREsp974142</t>
  </si>
  <si>
    <t>MINISTÉRIO PÚBLICO DO ESTADO DE MINAS GERAIS // NILSON CARLOS ROSA JÚNIOR</t>
  </si>
  <si>
    <t>AREsp685472</t>
  </si>
  <si>
    <t>MINISTÉRIO PÚBLICO DO ESTADO DA BAHIA // UANDERSON PEREIRA DE JESUS</t>
  </si>
  <si>
    <t>AREsp574603</t>
  </si>
  <si>
    <t>FRANCISCO SÍLVIO GONÇALVES BEZERRA // FRANCISCO SÍLVIO GONÇALVES BEZERRA // MINISTÉRIO PÚBLICO DO DISTRITO FEDERAL E TERRITÓRIOS</t>
  </si>
  <si>
    <t>REsp1484438</t>
  </si>
  <si>
    <t>EDNEY PEREIRA DOS SANTOS // MINISTÉRIO PÚBLICO DO ESTADO DE MINAS GERAIS</t>
  </si>
  <si>
    <t>REsp1530895</t>
  </si>
  <si>
    <t>IVAN CAMARGO // MINISTÉRIO PÚBLICO DO ESTADO DO RIO GRANDE DO SUL</t>
  </si>
  <si>
    <t>HC309887</t>
  </si>
  <si>
    <t>DEFENSORIA PÚBLICA DO ESTADO DE SANTA CATARINA // RONILDO COUTO // TRIBUNAL DE JUSTIÇA DO ESTADO DE SANTA CATARINA</t>
  </si>
  <si>
    <t>AREsp585189</t>
  </si>
  <si>
    <t>MARLOS PATRICK BRITO // MARLOS PATRICK BRITO // MARLOS PATRICK BRITO // MINISTÉRIO PÚBLICO DO ESTADO DE MATO GROSSO DO SUL</t>
  </si>
  <si>
    <t>REsp1509461</t>
  </si>
  <si>
    <t>MINISTÉRIO PÚBLICO DO ESTADO DE GOIÁS // REIS NATAL DE OLIVEIRA // REIS NATAL DE OLIVEIRA</t>
  </si>
  <si>
    <t>AREsp568137</t>
  </si>
  <si>
    <t>PI</t>
  </si>
  <si>
    <t>MINISTÉRIO PÚBLICO DO ESTADO DO PIAUÍ // NILSON VERAS DE SOUSA // NILSON VERAS DE SOUSA</t>
  </si>
  <si>
    <t>DEFENSORIA PÚBLICA DO ESTADO DO PIAUÍ</t>
  </si>
  <si>
    <t>AREsp861962</t>
  </si>
  <si>
    <t>CLEITON PEDRO DOS SANTOS // MINISTÉRIO PÚBLICO DO ESTADO DO TOCANTINS</t>
  </si>
  <si>
    <t>DEFENSORIA PÚBLICA DO ESTADO DO TOCANTINS</t>
  </si>
  <si>
    <t>HC350109</t>
  </si>
  <si>
    <t>DEFENSORIA PÚBLICA DO ESTADO DE MATO GROSSO DO SUL // JHONATAN DOS SANTOS DE LIMA // JHONATAN SANTOS DE LIMA // JUCILIA SOARES DE MELLO // TRIBUNAL DE JUSTIÇA DO ESTADO DE MATO GROSSO DO SUL</t>
  </si>
  <si>
    <t>AREsp576193</t>
  </si>
  <si>
    <t>ARIEL PEREIRA DOS SANTOS // ARIEL PEREIRA DOS SANTOS // MINISTERIO PÚBLICO DO ESTADO DE MATO GROSSO</t>
  </si>
  <si>
    <t>HC331661</t>
  </si>
  <si>
    <t>CELIO SOBRAL FERREIRA DA SILVA // DEFENSORIA PÚBLICA DO ESTADO DE SANTA CATARINA // TRIBUNAL DE JUSTIÇA DO ESTADO DE SANTA CATARINA // VALMIR DA SILVA</t>
  </si>
  <si>
    <t>AREsp628538</t>
  </si>
  <si>
    <t>MINISTÉRIO PÚBLICO DO ESTADO DE MINAS GERAIS // SIDNEI BARBOSA ALVES</t>
  </si>
  <si>
    <t>DEFENSORIA PÚBLICA DO ESTADO DE SANTA CATARINA // MATHEUS VINICIUS FERNANDES SILVA // TRIBUNAL DE JUSTIÇA DO ESTADO DE SANTA CATARINA // VICENTE PEREIRA DA SILVA</t>
  </si>
  <si>
    <t>AREsp648370</t>
  </si>
  <si>
    <t>ANTÔNIO CRUZ SILVA // MINISTÉRIO PÚBLICO DO ESTADO DE SÃO PAULO</t>
  </si>
  <si>
    <t>REsp1527885</t>
  </si>
  <si>
    <t>FRANCISCO HENRIQUE DE AZEVEDO // MINISTÉRIO PÚBLICO DO ESTADO DE MINAS GERAIS</t>
  </si>
  <si>
    <t>LUAN CARDEC DOS SANTOS // MINISTÉRIO PÚBLICO DO ESTADO DE MINAS GERAIS</t>
  </si>
  <si>
    <t>HC312427</t>
  </si>
  <si>
    <t>DEFENSORIA PÚBLICA DO ESTADO DE SÃO PAULO // JONATAS COSTA DOS SANTOS // TRIBUNAL DE JUSTIÇA DO ESTADO DE SÃO PAULO</t>
  </si>
  <si>
    <t>AREsp678031</t>
  </si>
  <si>
    <t>GREGY ELAN DE OLIVEIRA // MINISTÉRIO PÚBLICO DO ESTADO DO RIO GRANDE DO SUL // SANDRO DA SILVA OLIVEIRA</t>
  </si>
  <si>
    <t>AREsp655665</t>
  </si>
  <si>
    <t>AREsp858919</t>
  </si>
  <si>
    <t>CARLOS ALBERTO PEREIRA // MINISTÉRIO PÚBLICO DO ESTADO DE SÃO PAULO</t>
  </si>
  <si>
    <t>AREsp574210</t>
  </si>
  <si>
    <t>JAIRO DE JESUS ZEBA // JAIRO DE JESUS ZEBA // MINISTÉRIO PÚBLICO DO DISTRITO FEDERAL E TERRITÓRIOS</t>
  </si>
  <si>
    <t>HC311356</t>
  </si>
  <si>
    <t>DEFENSORIA PÚBLICA DO ESTADO DO RIO GRANDE DO SUL // TIAGO PADILHA CAMPOS // TRIBUNAL DE JUSTIÇA DO ESTADO DO RIO GRANDE DO SUL</t>
  </si>
  <si>
    <t>REsp1512282</t>
  </si>
  <si>
    <t>MESSIAS GONÇALVES DE SOUZA // MINISTÉRIO PÚBLICO DO ESTADO DO RIO DE JANEIRO</t>
  </si>
  <si>
    <t>AREsp653096</t>
  </si>
  <si>
    <t>ALAN SANTANA ALVES // MINISTÉRIO PÚBLICO DO ESTADO DE MINAS GERAIS</t>
  </si>
  <si>
    <t>AREsp757069</t>
  </si>
  <si>
    <t>EDUARDO JOSE DE SOUSA // EDUARDO JOSE DE SOUSA // MINISTÉRIO PÚBLICO DO DISTRITO FEDERAL E TERRITÓRIOS</t>
  </si>
  <si>
    <t>IGOR ANTÔNIO MARQUES BARROS // IGOR ANTÔNIO MARQUES BARROS // MINISTÉRIO PÚBLICO DO DISTRITO FEDERAL E TERRITÓRIOS</t>
  </si>
  <si>
    <t>AREsp682037</t>
  </si>
  <si>
    <t>MINISTÉRIO PÚBLICO DO ESTADO DE MINAS GERAIS // SEBASTIÃO GUIMARÃES DE CASTRO</t>
  </si>
  <si>
    <t>REsp1521263</t>
  </si>
  <si>
    <t>LEONARDO TEIXEIRA DE JESUS // MINISTÉRIO PÚBLICO DO ESTADO DE MINAS GERAIS</t>
  </si>
  <si>
    <t>HC349653</t>
  </si>
  <si>
    <t>AREsp611025</t>
  </si>
  <si>
    <t>JOÃO FABIANO MARQUES // MINISTÉRIO PÚBLICO DO ESTADO DE SÃO PAULO</t>
  </si>
  <si>
    <t>HC313556</t>
  </si>
  <si>
    <t>CLAUDIO ANTONIO DA ROSA // DEFENSORIA PÚBLICA DO ESTADO DE SANTA CATARINA // TRIBUNAL DE JUSTIÇA DO ESTADO DE SANTA CATARINA</t>
  </si>
  <si>
    <t>HC350367</t>
  </si>
  <si>
    <t>DEFENSORIA PÚBLICA DO ESTADO DO RIO GRANDE DO SUL // RENATO FELIPE DOS SANTOS FREIRE // TRIBUNAL DE JUSTIÇA DO ESTADO DO RIO GRANDE DO SUL</t>
  </si>
  <si>
    <t>AREsp603339</t>
  </si>
  <si>
    <t>GILMAR ANTÔNIO BELCHIOR FILHO // MARCUS VINICIUS VICENTINI ROSA // MINISTÉRIO PÚBLICO DO ESTADO DE MINAS GERAIS</t>
  </si>
  <si>
    <t>BRUNO ARAÚJO</t>
  </si>
  <si>
    <t>REsp1521419</t>
  </si>
  <si>
    <t>HC343338</t>
  </si>
  <si>
    <t>DEFENSORIA PÚBLICA DO ESTADO DE MATO GROSSO DO SUL // PEDRO HENRIQUE GONCALVES BENITES // TRIBUNAL DE JUSTIÇA DO ESTADO DE MATO GROSSO DO SUL</t>
  </si>
  <si>
    <t>HC341404</t>
  </si>
  <si>
    <t>BRUNO SALES MENEZES // CINTHIA DE SANTANA SANTOS // TRIBUNAL DE JUSTIÇA DO DISTRITO FEDERAL E DOS TERRITÓRIOS</t>
  </si>
  <si>
    <t>MINISTERIO PÚBLICO DO ESTADO DE MATO GROSSO // TARCÍSIO DE LIMA DA ROSA // TARCISO DE LIMA DA ROSA</t>
  </si>
  <si>
    <t>ANDERSON DIGLIO RIGHETTO // DEFENSORIA PÚBLICA DO ESTADO DE SÃO PAULO // TRIBUNAL DE JUSTIÇA DO ESTADO DE SÃO PAULO</t>
  </si>
  <si>
    <t>HC319917</t>
  </si>
  <si>
    <t>DEFENSORIA PÚBLICA DO ESTADO DE MATO GROSSO DO SUL // MARGARETH FERREIRA DA SILVA // TRIBUNAL DE JUSTIÇA DO ESTADO DE MATO GROSSO DO SUL</t>
  </si>
  <si>
    <t>REsp1524212</t>
  </si>
  <si>
    <t>IVO SMANIOTO ABI JÚNIOR // MINISTERIO PÚBLICO DO ESTADO DE MATO GROSSO</t>
  </si>
  <si>
    <t>REsp1541889</t>
  </si>
  <si>
    <t>MINISTÉRIO PÚBLICO DO ESTADO DO RIO DE JANEIRO // UILIAM FERREIRA SOUZA</t>
  </si>
  <si>
    <t>HC316990</t>
  </si>
  <si>
    <t>ANA PAULA LAURENTH SANTOS // DEFENSORIA PÚBLICA DO ESTADO DE SANTA CATARINA // SILVANO MEDONÇA // TRIBUNAL DE JUSTIÇA DO ESTADO DE SANTA CATARINA</t>
  </si>
  <si>
    <t>AREsp633080</t>
  </si>
  <si>
    <t>LUIZ OTAVIO DE SIQUEIRA // LUIZ OTAVIO DE SIQUEIRA // MINISTERIO PÚBLICO DO ESTADO DE MATO GROSSO // ODILEY VALDINO DOS SANTOS</t>
  </si>
  <si>
    <t>HC338409</t>
  </si>
  <si>
    <t>DEFENSORIA PÚBLICA DO ESTADO DE SÃO PAULO // RONEI PEREIRA GADELIA // TRIBUNAL DE JUSTIÇA DO ESTADO DE SÃO PAULO</t>
  </si>
  <si>
    <t>HC343805</t>
  </si>
  <si>
    <t>DEFENSORIA PÚBLICA DO ESTADO DE SANTA CATARINA // ROGERIO PACHECO // TRIBUNAL DE JUSTIÇA DO ESTADO DE SANTA CATARINA</t>
  </si>
  <si>
    <t>AREsp588082</t>
  </si>
  <si>
    <t>CLEONICE FONSECA // MINISTÉRIO PÚBLICO DO ESTADO DO RIO GRANDE DO SUL</t>
  </si>
  <si>
    <t>HC326785</t>
  </si>
  <si>
    <t>DEFENSORIA PÚBLICA DA UNIÃO // JULIO CESAR RIBEIRO // TRIBUNAL DE JUSTIÇA DO ESTADO DE MINAS GERAIS</t>
  </si>
  <si>
    <t>REsp1527931</t>
  </si>
  <si>
    <t>EDIMILSON DE OLIVEIRA // MINISTÉRIO PÚBLICO DO ESTADO DE MINAS GERAIS</t>
  </si>
  <si>
    <t>HC311348</t>
  </si>
  <si>
    <t>DEFENSORIA PÚBLICA DO ESTADO DO RIO GRANDE DO SUL // DOUGLAS DE OLIVEIRA QUEVEDO // TRIBUNAL DE JUSTIÇA DO ESTADO DO RIO GRANDE DO SUL</t>
  </si>
  <si>
    <t>REsp1529994</t>
  </si>
  <si>
    <t>MICHAEL MOYA MIRANDA // MINISTÉRIO PÚBLICO DO ESTADO DE SÃO PAULO</t>
  </si>
  <si>
    <t>AREsp702169</t>
  </si>
  <si>
    <t>MINISTÉRIO PÚBLICO DO ESTADO DE MINAS GERAIS // TELMA LIMA DOS SANTOS</t>
  </si>
  <si>
    <t>ANA VALDELICE FERREIRA // ANA VALDELICE FERREIRA // MINISTÉRIO PÚBLICO DO ESTADO DE MINAS GERAIS</t>
  </si>
  <si>
    <t>ISMAEL SOUSA DE ARAÚJO // ISMAEL SOUSA DE ARAÚJO // MINISTÉRIO PÚBLICO DO ESTADO DE MATO GROSSO DO SUL</t>
  </si>
  <si>
    <t>HC329785</t>
  </si>
  <si>
    <t>DEFENSORIA PÚBLICA DO ESTADO DE SANTA CATARINA // MARIO ROBERTO PERONI CASTANHETTI // TRIBUNAL DE JUSTIÇA DO ESTADO DE SANTA CATARINA</t>
  </si>
  <si>
    <t>AREsp886832</t>
  </si>
  <si>
    <t>ANDERSON FLAVIO DE JESUS // COSME ALMEIDA OLIVEIRA // MINISTÉRIO PÚBLICO DO ESTADO DE SÃO PAULO</t>
  </si>
  <si>
    <t>AREsp648178</t>
  </si>
  <si>
    <t>MINISTÉRIO PÚBLICO DO ESTADO DE MINAS GERAIS // WALBERT LUIS SILVA PEREIRA // WALBERT LUIS SILVA PEREIRA // WALBERT LUIZ SILVA PEREIRA</t>
  </si>
  <si>
    <t>AREsp618562</t>
  </si>
  <si>
    <t>LEANDRO DOS SANTOS BRAGA // MINISTÉRIO PÚBLICO DO ESTADO DO RIO GRANDE DO SUL</t>
  </si>
  <si>
    <t>HC332395</t>
  </si>
  <si>
    <t>DEFENSORIA PÚBLICA DO ESTADO DE SÃO PAULO // FABIO DO NASCIMENTO VIEIRA // TRIBUNAL DE JUSTIÇA DO ESTADO DE SÃO PAULO</t>
  </si>
  <si>
    <t>FERNANDA COSTA TEIXEIRA</t>
  </si>
  <si>
    <t>REsp1521251</t>
  </si>
  <si>
    <t>ERON GARIGLIO FERREIRA // ERON GARIGLIO FERREIRA // KEILA DA SILVA PORTELLA // MINISTÉRIO PÚBLICO DO ESTADO DE MINAS GERAIS</t>
  </si>
  <si>
    <t>AREsp881584</t>
  </si>
  <si>
    <t>DENILSON RENATO QUADROS GONCALVES // MINISTÉRIO PÚBLICO DO ESTADO DO RIO GRANDE DO SUL</t>
  </si>
  <si>
    <t>REsp1531031</t>
  </si>
  <si>
    <t>MARCO AURELIO ROSA DE ALMEIDA // MINISTÉRIO PÚBLICO DO ESTADO DO RIO GRANDE DO SUL</t>
  </si>
  <si>
    <t>REsp1521739</t>
  </si>
  <si>
    <t>AREsp836418</t>
  </si>
  <si>
    <t>AM</t>
  </si>
  <si>
    <t>MINISTÉRIO PÚBLICO DO ESTADO DO AMAZONAS // ROGÉRIO FERRAZ FONSECA</t>
  </si>
  <si>
    <t>DEFENSORIA PÚBLICA DO ESTADO DO AMAZONAS</t>
  </si>
  <si>
    <t>REGIME</t>
  </si>
  <si>
    <t>AgRg AREsp 687406</t>
  </si>
  <si>
    <t>Negando Seguimento</t>
  </si>
  <si>
    <t>Bolsa vítima e numerário</t>
  </si>
  <si>
    <t>Absolvição</t>
  </si>
  <si>
    <t>Não</t>
  </si>
  <si>
    <t>RIF</t>
  </si>
  <si>
    <t>2A 3 M e 22 DM</t>
  </si>
  <si>
    <t>Art. 155, caput</t>
  </si>
  <si>
    <t>Art. 155, caput, c/c o art. 14, II</t>
  </si>
  <si>
    <t>RIS</t>
  </si>
  <si>
    <t>Alimentos</t>
  </si>
  <si>
    <t>Condenação</t>
  </si>
  <si>
    <t>Bicicleta</t>
  </si>
  <si>
    <t>Negou Seguimento</t>
  </si>
  <si>
    <t>Trancamento</t>
  </si>
  <si>
    <t>Art. 155, § 1º, c/c art. 61, I e II, "h"</t>
  </si>
  <si>
    <t>Botijão gás</t>
  </si>
  <si>
    <t>2A 2 M 20D e 10 DM</t>
  </si>
  <si>
    <t>Numerário</t>
  </si>
  <si>
    <t>Art. 155, § 4º, I</t>
  </si>
  <si>
    <t>Negando provimento</t>
  </si>
  <si>
    <t>Numerário e itens diversos</t>
  </si>
  <si>
    <t>Art. 155, § 4º, IV</t>
  </si>
  <si>
    <t>2A 6M e 30DM</t>
  </si>
  <si>
    <t>BIANCA ALVARENGA GONÇALVES // ASSISTÊNCIA JUDICIÁRIA</t>
  </si>
  <si>
    <t>Produtos higiene</t>
  </si>
  <si>
    <t>6M e 5 DM</t>
  </si>
  <si>
    <t>Produtos diversos</t>
  </si>
  <si>
    <t>Art. 155, § 4º, II e IV</t>
  </si>
  <si>
    <t>2A e 11DM</t>
  </si>
  <si>
    <t>RIA c/ Subst.</t>
  </si>
  <si>
    <t>RIA s/ Subst.</t>
  </si>
  <si>
    <t>Roupas diversas resid. vítima</t>
  </si>
  <si>
    <t>Art. 155, § 1º</t>
  </si>
  <si>
    <t>Vestuário, calçado, brinquedo</t>
  </si>
  <si>
    <t>Art. 155, caput, c/c art. 71 (3 vezes)</t>
  </si>
  <si>
    <t>9M 18D e  10DM</t>
  </si>
  <si>
    <t>Art. 155, § 2º</t>
  </si>
  <si>
    <t>10DM</t>
  </si>
  <si>
    <t>Negando Provimento</t>
  </si>
  <si>
    <t>Bebida alcoólica e vestuário</t>
  </si>
  <si>
    <t>2A 9M e 13DM</t>
  </si>
  <si>
    <t>DEFENSORIA PÚBLICA DO ESTADO DE MINAS GERAIS // RECORRENTE MPF</t>
  </si>
  <si>
    <t>DEFENSORIA PÚBLICA DO ESTADO DO RIO DE JANEIRO // RECORRENTE MPERJ</t>
  </si>
  <si>
    <t>Não Conhecendo do Agravo</t>
  </si>
  <si>
    <t>Moedas e itens pequeno valor</t>
  </si>
  <si>
    <t>2A e 10DM</t>
  </si>
  <si>
    <t>AgRg AREsp 601256</t>
  </si>
  <si>
    <t>Pássaro</t>
  </si>
  <si>
    <t>Vestuário</t>
  </si>
  <si>
    <t>Vestuário e alimentos</t>
  </si>
  <si>
    <t>N</t>
  </si>
  <si>
    <t>Art. 155, caput, c/c art. 14, II</t>
  </si>
  <si>
    <t>AgRg AREsp 568783</t>
  </si>
  <si>
    <t>JAINARA CRISTINE LOIOLA DE SOUSA //ASSISTÊNCIA JUDICIÁRIA</t>
  </si>
  <si>
    <t>1A 20D reclusão e 7M detenção e 13DM</t>
  </si>
  <si>
    <t>DEFENSORIA PÚBLICA DO ESTADO DO RIO E JANEIRO</t>
  </si>
  <si>
    <t>Gêneros alimentícios</t>
  </si>
  <si>
    <t>8M e 6DM</t>
  </si>
  <si>
    <t>BÁRBARA MARIA FRANCO LIRA //ASSISTÊNCIA JUDICIÁRIA</t>
  </si>
  <si>
    <t>Fios de cobre</t>
  </si>
  <si>
    <t>Art. 155, § 4º, I, c/c art. 14, II</t>
  </si>
  <si>
    <t>7M e 5 DM</t>
  </si>
  <si>
    <t>Art. 155, § 4º, I e II, c/c art. 14, II</t>
  </si>
  <si>
    <t>Cimento e carrinho mão</t>
  </si>
  <si>
    <t>Art. 155, § 4º, I e IV, e § 2º</t>
  </si>
  <si>
    <t>AgRg AREsp 685483</t>
  </si>
  <si>
    <t>Cigarros</t>
  </si>
  <si>
    <t>Art. 155, caput, e  § 2º, c/c art. 14, II</t>
  </si>
  <si>
    <t>AgRg AREsp 562234</t>
  </si>
  <si>
    <t>1A e 1M e 6DM</t>
  </si>
  <si>
    <t>Chocolates</t>
  </si>
  <si>
    <t>1A e 2M e 10DM</t>
  </si>
  <si>
    <t>Aparelho celular</t>
  </si>
  <si>
    <t>2A e 4M de reclusão e 7M detenção, e 17DM</t>
  </si>
  <si>
    <t>AgRg AREsp 604892</t>
  </si>
  <si>
    <t>Art. 155, § 4º, II</t>
  </si>
  <si>
    <t>2A 7M 7D e 12DM</t>
  </si>
  <si>
    <t>Itens diversos para construção</t>
  </si>
  <si>
    <t>Art. 155, § 3º</t>
  </si>
  <si>
    <t>1A e 10DM</t>
  </si>
  <si>
    <t>4M</t>
  </si>
  <si>
    <t>DEFENSORIA PÚBLICA DO ESTADO DO RIO GRANDE DO SUL // EMBARGANTE: MINISTÉRIO PÚBLICO DO ESTADO DO RS</t>
  </si>
  <si>
    <t>Deu provimento aos embargos para  manter a sentença condenatória</t>
  </si>
  <si>
    <t xml:space="preserve">Itens diversos </t>
  </si>
  <si>
    <t>Dando provimento para determinar o prosseguimento da persecução</t>
  </si>
  <si>
    <t>DEFENSORIA PÚBLICA DO ESTADO MS // AGRAVANTE: MIINISTÉRIO PÚBLICO  ESTADO MS</t>
  </si>
  <si>
    <t>Capacetes</t>
  </si>
  <si>
    <t>TURMA/SEÇÃO</t>
  </si>
  <si>
    <t>6T</t>
  </si>
  <si>
    <t>5T</t>
  </si>
  <si>
    <t>Valor bem  e reincidência</t>
  </si>
  <si>
    <t>Valor bem e reincidência</t>
  </si>
  <si>
    <t>Sem informação</t>
  </si>
  <si>
    <t xml:space="preserve">BEM RESTITUÍDO/REPARADO </t>
  </si>
  <si>
    <t>Restituído</t>
  </si>
  <si>
    <t>Valor bem e habitualidade delitiva</t>
  </si>
  <si>
    <t>S</t>
  </si>
  <si>
    <t xml:space="preserve">Valor bem </t>
  </si>
  <si>
    <t>Habitualidade delitiva e Circunstâncias delito</t>
  </si>
  <si>
    <t>Valor bem, Circunst. Delito e  habitual. Delitiva</t>
  </si>
  <si>
    <t>Reincidência</t>
  </si>
  <si>
    <t xml:space="preserve">APLICOU/MANTEVE A INSIGNIFICÂNCIA ? </t>
  </si>
  <si>
    <t>Habitualidade delitiva</t>
  </si>
  <si>
    <t>Valor bem, reincidenc., maus antecedentes</t>
  </si>
  <si>
    <t>S - Ofensividade conduta e periculidade social</t>
  </si>
  <si>
    <t>Habitalidade delitiva, circunstâncias delito</t>
  </si>
  <si>
    <t>Valor bem e circunstâncias delito</t>
  </si>
  <si>
    <t>Valor bem</t>
  </si>
  <si>
    <t>Valor bem, circunstâncias delito, habitual. Delitiva</t>
  </si>
  <si>
    <t>Habitualidade delitiva, circunstâncias delito</t>
  </si>
  <si>
    <t>S - Reprovab. Comportamento</t>
  </si>
  <si>
    <t>AgRg AREsp 680741</t>
  </si>
  <si>
    <t xml:space="preserve">DEFENSORIA PÚBLICA DA UNIÃO </t>
  </si>
  <si>
    <t>GPS e Carregador</t>
  </si>
  <si>
    <t>2A 4M e 11DM</t>
  </si>
  <si>
    <t>Habitualidade delitiva, circunstâncias delito e valor bem</t>
  </si>
  <si>
    <t>Facas</t>
  </si>
  <si>
    <t>Negando seguimento</t>
  </si>
  <si>
    <t>1A 2M e 11DM</t>
  </si>
  <si>
    <t>Carteira da vítima</t>
  </si>
  <si>
    <t>4M  detenção e 3DM</t>
  </si>
  <si>
    <t>Cinto da vítima</t>
  </si>
  <si>
    <t>Circunstâncias delito</t>
  </si>
  <si>
    <t>Circunst. delito, multirreincid. e maus anteced.</t>
  </si>
  <si>
    <t>Comportamento do agente</t>
  </si>
  <si>
    <t>Par de tênis da vítima</t>
  </si>
  <si>
    <t>Art. 155, caput, e  § 2º</t>
  </si>
  <si>
    <t>10M e 12DM</t>
  </si>
  <si>
    <t>Valor do bem</t>
  </si>
  <si>
    <t>RICARDO AFONSO BRANCO RAMOS PINTO // ASSISTÊNCIA JUDICIÁRIA</t>
  </si>
  <si>
    <t>Itens diversos</t>
  </si>
  <si>
    <t>AgRg AREsp 677540</t>
  </si>
  <si>
    <t>Art. 155, § 1º e 2º</t>
  </si>
  <si>
    <t>Um porco</t>
  </si>
  <si>
    <t>8M e 10DM</t>
  </si>
  <si>
    <t>Art. 155, § 4º, II e IV, c/c art. 14, II</t>
  </si>
  <si>
    <t>DEFENSORIA PÚBLICA DO ESTADO DE MATO GROSSO DO SUL // AGRAVANTE: MINISTÉRIO PÚBLICO DO ESTADO MS</t>
  </si>
  <si>
    <t>Bateria de caminhão</t>
  </si>
  <si>
    <t>AgRg AREsp 601849</t>
  </si>
  <si>
    <t>THIAGO MACHADO DE CARVALHO //  ASSISTÊNCIA JUDICIÁRIA</t>
  </si>
  <si>
    <t>Combustível</t>
  </si>
  <si>
    <t>Equipamentos automotivos e bicicleta</t>
  </si>
  <si>
    <t>1A e 2M e 15DM</t>
  </si>
  <si>
    <t>S - Inexpressividade lesão e periculosidade social ação</t>
  </si>
  <si>
    <t>Vestuário e bomba de lava jato</t>
  </si>
  <si>
    <t>4M e 2D e 3DM</t>
  </si>
  <si>
    <t>10M e 20D e 4DM</t>
  </si>
  <si>
    <t xml:space="preserve">Habitualidade delitiva, circunstâncias delito </t>
  </si>
  <si>
    <t>DEFENSORIA PÚBLICO DO ESTADO DE SÃO PAULO</t>
  </si>
  <si>
    <t>Mangueira de borracha</t>
  </si>
  <si>
    <t>Concedendo a ordem para absolver por insignificância</t>
  </si>
  <si>
    <t>Lesão jurídica inexpressiva</t>
  </si>
  <si>
    <t>Garrafa vodka</t>
  </si>
  <si>
    <t>10M e 20D e 9DM</t>
  </si>
  <si>
    <t>S- Minim. ofensiv. conduta e reduzido grau reprovab. comp.</t>
  </si>
  <si>
    <t>Botijão de gás</t>
  </si>
  <si>
    <t>Reiteração delitiva</t>
  </si>
  <si>
    <t>4A e 40DM</t>
  </si>
  <si>
    <t>Alimento</t>
  </si>
  <si>
    <t>S - Inexpressividade lesão jurídica</t>
  </si>
  <si>
    <t>Irrelevância penal da conduta</t>
  </si>
  <si>
    <t>Mini-System</t>
  </si>
  <si>
    <t>Numerário vítima</t>
  </si>
  <si>
    <t>AgRg AREsp 697529</t>
  </si>
  <si>
    <t>Mourões de madeira</t>
  </si>
  <si>
    <t>1A e 4M e 6 DM</t>
  </si>
  <si>
    <t>DEFENSORIA PÚBLICA DO ESTADO DO RIO GRANDE DO SUL // RECTE: MINISTÉRIO PÚBLICO ESTADO RS</t>
  </si>
  <si>
    <t>Moedas</t>
  </si>
  <si>
    <t>6M detenção e 5DM</t>
  </si>
  <si>
    <t>Ínfimo valor bem</t>
  </si>
  <si>
    <t>Art. 155, caput, § 2º, c/c art. 14, II</t>
  </si>
  <si>
    <t>Fios elétricos</t>
  </si>
  <si>
    <t>Produtos higiene pessoal</t>
  </si>
  <si>
    <t>S - Mínima ofensividade conduta</t>
  </si>
  <si>
    <t>Valor bem e primariedade</t>
  </si>
  <si>
    <t>Contumácia delitiva</t>
  </si>
  <si>
    <t>S - Mínima ofensividade e ausência  periculosid. social ação</t>
  </si>
  <si>
    <t>10M 26D e 4 DM</t>
  </si>
  <si>
    <t>Art. 155, caput, § 2º</t>
  </si>
  <si>
    <t>Celular</t>
  </si>
  <si>
    <t>9M 10D e 8DM e 5M detenção</t>
  </si>
  <si>
    <t>RIA concedido Sursis</t>
  </si>
  <si>
    <t>Dois fardos refrigerante</t>
  </si>
  <si>
    <t>Fruteira plástico</t>
  </si>
  <si>
    <t>1A 9M e 12DM</t>
  </si>
  <si>
    <t>S - Reprovab. Comportamento e lesão jurídica expressiva</t>
  </si>
  <si>
    <t>Reprovabilidade Comportamento</t>
  </si>
  <si>
    <t>Art. 115, caput, § 2º</t>
  </si>
  <si>
    <t>S - Inexpressividade da lesão jurídica provocada</t>
  </si>
  <si>
    <t>8M  e 10DM</t>
  </si>
  <si>
    <t xml:space="preserve">S - Ofensividade conduta </t>
  </si>
  <si>
    <t>S- Ofensiv. conduta e Reprovabilidade comportamento</t>
  </si>
  <si>
    <t>Sacola com moedas</t>
  </si>
  <si>
    <t>1A 6M e 30DM</t>
  </si>
  <si>
    <t>S - Reprovabilidade comportamento</t>
  </si>
  <si>
    <t>6M e 5DM</t>
  </si>
  <si>
    <t>Duas latas refrigerante tipo energético</t>
  </si>
  <si>
    <t>1A 20M e 11DM; 10M e 3D detenção</t>
  </si>
  <si>
    <t>RIF; RIS (detenção) e  3M prestação serviços</t>
  </si>
  <si>
    <t>Concedendo a ordem p/ refazer a dosimetria da pena</t>
  </si>
  <si>
    <t>1A 3M e 13DM</t>
  </si>
  <si>
    <t>Churrasqueira</t>
  </si>
  <si>
    <t>S - Ofensividade conduta</t>
  </si>
  <si>
    <t>Art. 155, § 4º, I e IV</t>
  </si>
  <si>
    <t>Cadeiras plástico</t>
  </si>
  <si>
    <t>2A e 20DM</t>
  </si>
  <si>
    <t>AgRg AREsp 678031</t>
  </si>
  <si>
    <t>AgRg AREsp 598573</t>
  </si>
  <si>
    <t xml:space="preserve">Negando provimento </t>
  </si>
  <si>
    <t>Duas bicicletas</t>
  </si>
  <si>
    <t>2A 2M e 12DM</t>
  </si>
  <si>
    <t>4M e 3DM</t>
  </si>
  <si>
    <t>Torradeira</t>
  </si>
  <si>
    <t>HÁ MENÇÃO AOS VETORES DO STF? QUAIS?</t>
  </si>
  <si>
    <t>2A 10M detenção e 50DM</t>
  </si>
  <si>
    <t>AgRg AREsp 611489</t>
  </si>
  <si>
    <t>Inexistência de conden. c/ trânsito em julgado</t>
  </si>
  <si>
    <t>Sensores de alarme</t>
  </si>
  <si>
    <t>Duas garrafas bebida alcoólica</t>
  </si>
  <si>
    <t>Primariedade</t>
  </si>
  <si>
    <t>S - Todos os vetores</t>
  </si>
  <si>
    <t>Art. 155, caput, c/c art. 71 (2 vezes)</t>
  </si>
  <si>
    <t>1A e 20DM</t>
  </si>
  <si>
    <t>DEFENSORIA PÚBLICA DO ESTADO DE MINAS GERAIS // RECTE: MINISTÉRIO PÚBLICO ESTADO MG</t>
  </si>
  <si>
    <t>Duas caixas c/ piso cerâmica</t>
  </si>
  <si>
    <t>Uma ducha Lorenzeti</t>
  </si>
  <si>
    <t>S - Mínima ofensividade conduta e inexpressividade lesão jurídica</t>
  </si>
  <si>
    <t xml:space="preserve">2M 20D detenção e 2DM </t>
  </si>
  <si>
    <t>Gênero alimentício (peça carne)</t>
  </si>
  <si>
    <t>Valor bem e reprovabilidade conduta</t>
  </si>
  <si>
    <t>Óculos grau vítima</t>
  </si>
  <si>
    <t>Art. 155, §§ 2º e 4º, IV, c/c art. 14, II</t>
  </si>
  <si>
    <t>8M detenção</t>
  </si>
  <si>
    <t>Valor bem e reprovabilidade Comportamento</t>
  </si>
  <si>
    <t>Três ovelhas vivas</t>
  </si>
  <si>
    <t>1A detenção e 10DM</t>
  </si>
  <si>
    <t>Valor bem e reiteração delitiva</t>
  </si>
  <si>
    <t>Art. 155, § 4º, I, c/c art. 71 (2 vezes)</t>
  </si>
  <si>
    <t>Itens de vestuário</t>
  </si>
  <si>
    <t>DEFENSORIA PÚBLICA DO ESTADO GOIÁS // RECTE: MINISTÉRIO PÚBLICO DO ESTADO GO</t>
  </si>
  <si>
    <t>Inexpressividade lesão jurídica</t>
  </si>
  <si>
    <t>Não conhecendo</t>
  </si>
  <si>
    <t>Circunstâncias delito e reprovabilidade comportamento</t>
  </si>
  <si>
    <t xml:space="preserve"> N</t>
  </si>
  <si>
    <t>Art. 155, § 4º, I e II</t>
  </si>
  <si>
    <t>2A 3M 6D e  11DM</t>
  </si>
  <si>
    <t>RIS c/ Subst.</t>
  </si>
  <si>
    <t>Reprovabilidade comportamento</t>
  </si>
  <si>
    <t xml:space="preserve">Habitualidade delitiva e circunstâncias delito </t>
  </si>
  <si>
    <t>Circunstâncias delito (abuso de confiança)</t>
  </si>
  <si>
    <t>Pneu carro</t>
  </si>
  <si>
    <t>RIA c/  Subst.</t>
  </si>
  <si>
    <t>Valor bem e contumácia delitiva</t>
  </si>
  <si>
    <t>S - Todos os vetores de forma genérica</t>
  </si>
  <si>
    <t>Circunstâncias delito e valor bem</t>
  </si>
  <si>
    <t>8M e 3DM</t>
  </si>
  <si>
    <t>AgRg REsp 1489830</t>
  </si>
  <si>
    <t>Negando provimento para manter o prosseguimento da persecução</t>
  </si>
  <si>
    <t>Esmeril</t>
  </si>
  <si>
    <t xml:space="preserve">S - Mínima ofensividade conduta </t>
  </si>
  <si>
    <t>Valor bem  e circunstâncias delito</t>
  </si>
  <si>
    <t>1A 6M e 10DM de reclusão e 15D detenção</t>
  </si>
  <si>
    <t>1A 4M e 10DM</t>
  </si>
  <si>
    <t>Art. 155, caput, c/c art. 61, I</t>
  </si>
  <si>
    <t>Pacote fralda</t>
  </si>
  <si>
    <t>Ausência de ofensa relevante ao bem jurídico</t>
  </si>
  <si>
    <t>Corrente de pescoço</t>
  </si>
  <si>
    <t>1A 1M e 12DM</t>
  </si>
  <si>
    <t>Gêneros alimentícios (21  melancias)</t>
  </si>
  <si>
    <t>1A 6M e 20DM</t>
  </si>
  <si>
    <t>Cabides e camisetas</t>
  </si>
  <si>
    <t>Aparelho CD Player</t>
  </si>
  <si>
    <t>AgRg AREsp 594208</t>
  </si>
  <si>
    <t xml:space="preserve">ÁLVARO GUSTAVO CHAGAS DE ASSIS // BRUNA REGINA DA SILVA DADÁ </t>
  </si>
  <si>
    <t>DEFENSORIA PÚBLICA DO ESTADO DO RIO DE JANEIRO //RECTE: MINISTÉRIO PÚBLICO ESTADO RJ</t>
  </si>
  <si>
    <t>Reincidência e circunstâncias delito</t>
  </si>
  <si>
    <t>Concedendo a ordem p/ trancar a ação penal por insignificância</t>
  </si>
  <si>
    <t>7M e 6DM</t>
  </si>
  <si>
    <t>Reparação prejuízo</t>
  </si>
  <si>
    <t>Art. 155, § 4º, IV, c/c art. 16</t>
  </si>
  <si>
    <t>MARIANA MARTINS DE F DANTAS M CÓCA // ASSISTÊNCIA JUDICIÁRIA</t>
  </si>
  <si>
    <t>Garrafa licor Amarula</t>
  </si>
  <si>
    <t>2A 9M e 15DM</t>
  </si>
  <si>
    <t>2A 2M e 10DM</t>
  </si>
  <si>
    <t xml:space="preserve">Valor bem e reiteração delitiva </t>
  </si>
  <si>
    <t>Concedendo a ordem p/ absolver por insignificância</t>
  </si>
  <si>
    <t>Torneira e pedaços cano</t>
  </si>
  <si>
    <t>7M e 5DM</t>
  </si>
  <si>
    <t>Diminuto valor bem e restituição à vítima</t>
  </si>
  <si>
    <t>Cabos eletricidade concessionária</t>
  </si>
  <si>
    <t>Art. 155, § 4º, IV, c/c art. 14, II</t>
  </si>
  <si>
    <t>1A e 12DM</t>
  </si>
  <si>
    <t>Dando provimento p/ restabelecer a sentença condenatória</t>
  </si>
  <si>
    <t>AgRg AREsp 575778</t>
  </si>
  <si>
    <t>THIAGO ALMEIDA MORATO MENDONÇA // ASSISTÊNCIA JUDICIÁRIA</t>
  </si>
  <si>
    <t>Art. 155, caput, c/c art. 71 (2x)</t>
  </si>
  <si>
    <t>2 camisetas</t>
  </si>
  <si>
    <t>AgRg AREsp 653269</t>
  </si>
  <si>
    <t>2A 3M e 13DM</t>
  </si>
  <si>
    <t>Bolsa c/ pertences vítima e R$ 7,00</t>
  </si>
  <si>
    <t>1A 3M e 20DM</t>
  </si>
  <si>
    <t>Dando parcial provimento p/ reconhecer o furto privilegiado</t>
  </si>
  <si>
    <t xml:space="preserve">S- Minim. ofensiv. conduta </t>
  </si>
  <si>
    <t>Bolsa c/ pertences vítima e R$  215,00</t>
  </si>
  <si>
    <t>Art. 155, § 4º, IV, c/c art. 61, II, h</t>
  </si>
  <si>
    <t>Itens diversos e R$ 32,30</t>
  </si>
  <si>
    <t>Art. 155, § 4º, I e IV, c/c art. 14, II</t>
  </si>
  <si>
    <t>Ausência dos vetores p/ reconhecimento insignificância</t>
  </si>
  <si>
    <t>1A 6M e 24DM</t>
  </si>
  <si>
    <t>Art. 155, § 4º, II, c/c art. 14, II</t>
  </si>
  <si>
    <t>2 Botijões gás</t>
  </si>
  <si>
    <t>1A 5M 5D e 12DM</t>
  </si>
  <si>
    <t>Indeferido liminarmente o HC</t>
  </si>
  <si>
    <t>Circunstâncias delito e reincidência</t>
  </si>
  <si>
    <t>Lâmpada e cadeiras plásticas</t>
  </si>
  <si>
    <t>10M 19D e 4DM</t>
  </si>
  <si>
    <t xml:space="preserve">S - Mín. ofensividade conduta e ausência periculosid. social </t>
  </si>
  <si>
    <t>S - Mín. ofensividade; periculosid. social e reprovab. comport.</t>
  </si>
  <si>
    <t>Itens diversos e R$ 41,81</t>
  </si>
  <si>
    <t>1A 2M e 15DM</t>
  </si>
  <si>
    <t>Reincidência e habitualidade delitiva crimes patrimoniais</t>
  </si>
  <si>
    <t>S - Ausência periculosidade social</t>
  </si>
  <si>
    <t>Talhadeira</t>
  </si>
  <si>
    <t>Concedendo a ordem p/ trancar  a ação por insignificância</t>
  </si>
  <si>
    <t>Reprovabilidade comportamento pela reiteração delitiva</t>
  </si>
  <si>
    <t>Vigota de telhado</t>
  </si>
  <si>
    <t>Itens diversos e R$ 234,00</t>
  </si>
  <si>
    <t>AgRg HC 349653</t>
  </si>
  <si>
    <t>Circunstâncias do delito</t>
  </si>
  <si>
    <t>Dando provimento ao recurso p/ determinar o trancamento da ação</t>
  </si>
  <si>
    <t>S - Reprovabilidade comportamento e periculosidade social</t>
  </si>
  <si>
    <t>Aparelho DVD</t>
  </si>
  <si>
    <t>S - Inexpressividade lesão jurídica e periculosidade social</t>
  </si>
  <si>
    <t>Art. 155, § 4º, II, c/c art. 71</t>
  </si>
  <si>
    <t>Reireração delitiva específica</t>
  </si>
  <si>
    <t>Contumácia delitiva crimes patrimoniais</t>
  </si>
  <si>
    <t>2 Tinturas cabelo</t>
  </si>
  <si>
    <t>Gêneros alimentícios e de higiene pessoal</t>
  </si>
  <si>
    <t>4M 20D e 3DM</t>
  </si>
  <si>
    <t>AgRg AREsp 678125</t>
  </si>
  <si>
    <t xml:space="preserve">DEFENSORIA PÚBLICA DO ESTADO DO RIO GRANDE DO SUL </t>
  </si>
  <si>
    <t>Art. 155, § 4º, II e IV, c/c art. 71 (2x)</t>
  </si>
  <si>
    <t>1A 2M 12D e 12DM</t>
  </si>
  <si>
    <t>Gêneros alimentícios, de higiene pessoal e bicicleta</t>
  </si>
  <si>
    <t>Valor bem e contumácia delitiva crimes patrimoniais</t>
  </si>
  <si>
    <t>Art. 155, §§ 2º e 4º, IV</t>
  </si>
  <si>
    <t>1A 8M e 16DM</t>
  </si>
  <si>
    <t>Gêneros alimentícios (3 peças picanha)</t>
  </si>
  <si>
    <t>2M e 2DM</t>
  </si>
  <si>
    <t>Câmera de segurança</t>
  </si>
  <si>
    <t>2A 4M e 12DM</t>
  </si>
  <si>
    <t>Valor bem, reincidência e circunstâncias delito</t>
  </si>
  <si>
    <t>THIAGO MACHADO DE CARVALHO // ASSISTÊNCIA JUDICIÁRIA</t>
  </si>
  <si>
    <t>4 Garrafas cachaça</t>
  </si>
  <si>
    <t>Celular e R$ 120,00</t>
  </si>
  <si>
    <t>Valor bem e reiteração delitiva crimes graves</t>
  </si>
  <si>
    <t>SÁVIO ARAUJO DE LEMOS SILVA</t>
  </si>
  <si>
    <t>Pacote bala Halls  e numerário</t>
  </si>
  <si>
    <t>Aparelho CD automotivo</t>
  </si>
  <si>
    <t>1A 8M e 12DM</t>
  </si>
  <si>
    <t>Reincidência específica e circunstâncias delito</t>
  </si>
  <si>
    <t>1A 6M 20D e 7DM</t>
  </si>
  <si>
    <t>36 latas cerveja</t>
  </si>
  <si>
    <t>Gêneros alimentícios (5 peças picanha)</t>
  </si>
  <si>
    <t xml:space="preserve">S - Inexpressividade lesão jurídica </t>
  </si>
  <si>
    <t>Concedendo a ordem p/ reduzir as sanções a 1A 4M e 11DM</t>
  </si>
  <si>
    <t>2A e 21DM</t>
  </si>
  <si>
    <t>2A e 30DM</t>
  </si>
  <si>
    <t>AgRg AREsp 563041</t>
  </si>
  <si>
    <t>DEFENSORIA PÚBLICA DO DISTRITO FEDERAL E DOS TERRITÓRIOS</t>
  </si>
  <si>
    <t>Dando provimento p/ absolver por insignificância</t>
  </si>
  <si>
    <t>Valor bem e ausência prejuízo à vítima</t>
  </si>
  <si>
    <t>Art. 155, caput, c/c 14, II</t>
  </si>
  <si>
    <t>Art. 155, caput, c/c 14, II, c/c art. 71 (2x)</t>
  </si>
  <si>
    <t>Art. 155, §§  2º e 4º, II</t>
  </si>
  <si>
    <t>12 Pares meias</t>
  </si>
  <si>
    <t>Gêneros alimentícios e bebidas</t>
  </si>
  <si>
    <t>2A 8M 20D e 12DM</t>
  </si>
  <si>
    <t>3DM</t>
  </si>
  <si>
    <t>02/09/211</t>
  </si>
  <si>
    <t xml:space="preserve">Negando seguimento </t>
  </si>
  <si>
    <t>23 Embalagens chicletes Trident</t>
  </si>
  <si>
    <t>Itens higiene pessoal</t>
  </si>
  <si>
    <t>Concedendo a ordem p/ trancar a ação por insignificância</t>
  </si>
  <si>
    <t>ALESSANDRA MACIEL MENDES // ASSISTÊNCIA JUDICIÁRIA // RECTE: MINSTÉRIO PÚBLICO ESTADO MG</t>
  </si>
  <si>
    <t>Dando provimento ao recurso p/ afastar a absolvição por insignificância</t>
  </si>
  <si>
    <t>2 Garrafas de Campari</t>
  </si>
  <si>
    <t>Par sandálias Havaianas</t>
  </si>
  <si>
    <t>Peças de vestuário</t>
  </si>
  <si>
    <t>S - Ofensividade da conduta</t>
  </si>
  <si>
    <t>S - Inexpressividade da lesão</t>
  </si>
  <si>
    <t>S- Reprov. Comportamento</t>
  </si>
  <si>
    <t>S- Inexpressividade da lesão</t>
  </si>
  <si>
    <t>S- Ausenc. Periculosid. e Inexpes. Lesão</t>
  </si>
  <si>
    <t>S - Reprov. Comport. e Mín. ofensiv.</t>
  </si>
  <si>
    <t>S - Reprovab. comportamento e inexpressividade lesão jurídica</t>
  </si>
  <si>
    <t>AgRg REsp 1521278</t>
  </si>
  <si>
    <t>Aparelho de som</t>
  </si>
  <si>
    <t>Dando provimento p/ determinar o trancamento da ação por  insignificância</t>
  </si>
  <si>
    <t>Dando provimento p/ fixar o regime semiaberto corréu Jefferson</t>
  </si>
  <si>
    <t>Dando provimento p/ compensar a reincidência c/ a confissão</t>
  </si>
  <si>
    <t>Dando provimento p/ afastar a absolvição por insignificância</t>
  </si>
  <si>
    <t xml:space="preserve">Não Conhecendo </t>
  </si>
  <si>
    <t>Dando provimento p/ afastar a qualificadora e refazer a pena</t>
  </si>
  <si>
    <t>Negando provimento p/ manter absolvição por insignificância</t>
  </si>
  <si>
    <t>Dando provimento p/ afastar a absolv. por insignificância</t>
  </si>
  <si>
    <t>Dando provimento para determinar o prosseguimento da ação</t>
  </si>
  <si>
    <t>Dando provimento p/ trancar a ação penal por insignificância</t>
  </si>
  <si>
    <t>Ínfima lesão bem jurídico e primariedade</t>
  </si>
  <si>
    <t>AgRg AREsp 621679</t>
  </si>
  <si>
    <t>2A 9M e 14DM</t>
  </si>
  <si>
    <t>Uma bermuda</t>
  </si>
  <si>
    <t>1A 2M 10D e 11DM</t>
  </si>
  <si>
    <t>1º grau condenou; 2º Absolveu; STJ manteve a condenação</t>
  </si>
  <si>
    <t>5M 10D e 4DM</t>
  </si>
  <si>
    <t>Irrelevância de ofensa ao bem jurídico</t>
  </si>
  <si>
    <t>8M detenção e 6DM</t>
  </si>
  <si>
    <t>4M e 4DM</t>
  </si>
  <si>
    <t>1º grau absolveu; 2º condenou; STJ manteve a condenação</t>
  </si>
  <si>
    <t>1A 4M e 15DM</t>
  </si>
  <si>
    <t>8M 12D e 6DM</t>
  </si>
  <si>
    <t>Gêneros alimentícios e de vestimenta</t>
  </si>
  <si>
    <t>Contumácia delitiva em crimes patrimoniais</t>
  </si>
  <si>
    <t>1º grau Condenou; 2º Absolveu; STJ Manteve a condenação</t>
  </si>
  <si>
    <t>1º grau  Condenou; 2º Absolveu; STJ manteve absolvição</t>
  </si>
  <si>
    <t>1º grau Condenou; 2º Absolveu; STJ restabeleceu a condenação</t>
  </si>
  <si>
    <t>1º grau Condenou; 2º grau Absolveu; STJ restabeleceu condenação</t>
  </si>
  <si>
    <t>1º grau Absolveu; 2º Determinou prosseguimento; STJ Manteve a presecução</t>
  </si>
  <si>
    <t>1A 6M 20D e 14DM</t>
  </si>
  <si>
    <t>1 Carteira c/ documentos vítima</t>
  </si>
  <si>
    <t>Celular, R$ 8,00 e 10m de cobre</t>
  </si>
  <si>
    <t>Circunstâncias delito e reiteração delitiva</t>
  </si>
  <si>
    <t>1A 2M e 12DM</t>
  </si>
  <si>
    <t>1º grau Absolveu: 2º grau Determinou prosseguimento; STJ Absolveu</t>
  </si>
  <si>
    <t>Contumácia delitiva em crimes patrimoniais e valor bem</t>
  </si>
  <si>
    <t>Itens diversos e R$ 419,00</t>
  </si>
  <si>
    <t>Art. 155, § 4º, II e IV (5x), c/c art. 71</t>
  </si>
  <si>
    <t>Art. 155, caput , § 2º, c/c 14, II</t>
  </si>
  <si>
    <t>AgRg AREsp 557424</t>
  </si>
  <si>
    <t>Lesão jurídica expressiva pelo valor bem</t>
  </si>
  <si>
    <t>Art. 155, §§ 2º e 4º, II</t>
  </si>
  <si>
    <t>Circunstâncias delito e contumácia delitiva em crimes patrimoniais</t>
  </si>
  <si>
    <t>S - Minim. ofensiv. conduta e reduzido grau reprovab. comp.</t>
  </si>
  <si>
    <t>Carteira da vítima c/ documentos e numerário</t>
  </si>
  <si>
    <t>2A detenção e 10 DM</t>
  </si>
  <si>
    <t>AgRg AREsp 603353</t>
  </si>
  <si>
    <t>1A detenção e 5DM</t>
  </si>
  <si>
    <t>Gêneros alimentícios (2 peças filé mignon)</t>
  </si>
  <si>
    <t>Negando provimento, e ordem concedida p/ aplicar somente a pena de multa</t>
  </si>
  <si>
    <t>AgRg AREsp 651385</t>
  </si>
  <si>
    <t>Notebook</t>
  </si>
  <si>
    <t>Circunstâncias delito, valor bem e reincidência específica</t>
  </si>
  <si>
    <t>2A 3M 10D e 20DM</t>
  </si>
  <si>
    <t>AgRg AREsp 562354</t>
  </si>
  <si>
    <t>Art. 155, § 2º e § 4º, II</t>
  </si>
  <si>
    <t>1A 4M e 30DM</t>
  </si>
  <si>
    <t>Colcha de casal</t>
  </si>
  <si>
    <t xml:space="preserve">Circunstâncias delito e contumácia delitiva </t>
  </si>
  <si>
    <t>Dando porovimento p/ absolver por insignificância</t>
  </si>
  <si>
    <t>Art. 155, caput , § 2º</t>
  </si>
  <si>
    <t>1º e 2º Condenaram; STJ Absolveu</t>
  </si>
  <si>
    <t>AgRg AREsp 565609</t>
  </si>
  <si>
    <t>Valor bem e ausência prejuízo p/ vítima</t>
  </si>
  <si>
    <t>DEFENSORIA PÚBLICA DO ESTADO DE SÃO PAULO //AGTE: MINISTÉRIO PÚBLICO FEDERAL</t>
  </si>
  <si>
    <t>Negando provimento p/ manter a absolvição concedida pelo STJ</t>
  </si>
  <si>
    <t>Gêneros alimentícios (3,488 kg  bacalhau)</t>
  </si>
  <si>
    <t>10 Embalagens de suco Del Valle</t>
  </si>
  <si>
    <t>1A 4M e 6DM</t>
  </si>
  <si>
    <t>Concedendo a ordem p/ reduzir a pena a 5M 10D e 2DM</t>
  </si>
  <si>
    <t>5M 25D e 4DM</t>
  </si>
  <si>
    <t>5DM</t>
  </si>
  <si>
    <t>1º grau Absolveu; 2º grau Condenou; STJ Absolveu</t>
  </si>
  <si>
    <t>AgRg Resp 1503539</t>
  </si>
  <si>
    <t>MARCO VENÍCIO MOREIRA DE OLIVEIRA NUNES // MINISTÉRIO PÚBLICO DO ESTADO DE GOIÁS</t>
  </si>
  <si>
    <t>2A 1M e 55DM</t>
  </si>
  <si>
    <t>1º grau Absolveu; 2º grau Condenou; STJ Manteve absolvição</t>
  </si>
  <si>
    <t>15/082014  00:00:00</t>
  </si>
  <si>
    <t xml:space="preserve">BÁRBARA MARIA FRANCO LIRA </t>
  </si>
  <si>
    <t>1A 3M e 6DM</t>
  </si>
  <si>
    <t>1º grau Absolveu; 2º grau Condenou; STJ Restabeleceu a condenação</t>
  </si>
  <si>
    <t>ALESSANDRA MACIEL MENDES</t>
  </si>
  <si>
    <t>Não ser reincidente em crime contra o patrimônio e valor bem</t>
  </si>
  <si>
    <t>3 Bonés</t>
  </si>
  <si>
    <t>Reprovabilidade conduta; reincidência e circunstâncias delito</t>
  </si>
  <si>
    <t>S - Reprovabilidade conduta e periculosidade social</t>
  </si>
  <si>
    <t xml:space="preserve">Circunstâncias delito </t>
  </si>
  <si>
    <t>Art. 155, § 4º, IV (3x), c/c art. 71</t>
  </si>
  <si>
    <t xml:space="preserve">Art. 155, caput, (2x), c/c art. 69 </t>
  </si>
  <si>
    <t>2A 4M 24D e 30DM</t>
  </si>
  <si>
    <t>Multirreincidência específica</t>
  </si>
  <si>
    <t>1A 9M e 40DM</t>
  </si>
  <si>
    <t>Reincidência e valor bem</t>
  </si>
  <si>
    <t>AgRg AREsp 694006</t>
  </si>
  <si>
    <t>1A e 5DM</t>
  </si>
  <si>
    <t>4M e 5DM</t>
  </si>
  <si>
    <t>1A 4M e 14DM</t>
  </si>
  <si>
    <t>Reincidência específica e valor bem</t>
  </si>
  <si>
    <t>Cobertor térmico de casal e aparelho DVD</t>
  </si>
  <si>
    <t>Absolvição sumária p/ incapacidade e aplicação medida de segurança</t>
  </si>
  <si>
    <t>1 Ano de internação hospitalar</t>
  </si>
  <si>
    <t>AgRg HC 309028</t>
  </si>
  <si>
    <t>3 Peças de carne</t>
  </si>
  <si>
    <t>AgRg AREsp 589064</t>
  </si>
  <si>
    <t>Art. 154, § 4º, II e IV</t>
  </si>
  <si>
    <t>3A 11M e 29DM</t>
  </si>
  <si>
    <t>1º Condenou; 2º grau Absolveu; STJ Condenou</t>
  </si>
  <si>
    <t>Pisos de cerâmica</t>
  </si>
  <si>
    <t>Contumácia delitiva crimes patrimoniais e valor bem</t>
  </si>
  <si>
    <t>1 Par tênis e 1 sandália feminina</t>
  </si>
  <si>
    <t>AgRg AREsp 603299</t>
  </si>
  <si>
    <t>1A 6M e 10DM</t>
  </si>
  <si>
    <t>Art. 155, caput (2x), c/c art. 71</t>
  </si>
  <si>
    <t>Valor do bem e primariedade</t>
  </si>
  <si>
    <t>Numerário e gêneros alimentícios</t>
  </si>
  <si>
    <t>Art. 155, caput, §  2º (2x), c/c art. 71</t>
  </si>
  <si>
    <t>Contumácia na prática de atos infracionais</t>
  </si>
  <si>
    <t>2 Barras de chocolate</t>
  </si>
  <si>
    <t>2A 4M e 10DM</t>
  </si>
  <si>
    <t>MSE de internação por até 3 anos</t>
  </si>
  <si>
    <t>Bicicleta e relógio</t>
  </si>
  <si>
    <t>1A 9M e 17DM</t>
  </si>
  <si>
    <t>AgRg AREsp 655665</t>
  </si>
  <si>
    <t>Art. 155 caput, § 2º</t>
  </si>
  <si>
    <t>Concedendo a ordem p/ trancar a persecução penal por insignificância</t>
  </si>
  <si>
    <t>S - Ausência de periculosidade social da ação</t>
  </si>
  <si>
    <t>Gêneros alimentícios e artigos de higiene pessoal</t>
  </si>
  <si>
    <t>Gêneros alimentícios (2 peças carne)</t>
  </si>
  <si>
    <t>1º grau Absolveu; 2º grau determinou o prosseguimento da ação; STJ Manteve</t>
  </si>
  <si>
    <t>AgRg AREsp 597976</t>
  </si>
  <si>
    <t>YURI CESAR CHERMAN // ASSISTÊNCIA JUDICIÁRIA</t>
  </si>
  <si>
    <t>Art. 155, §§  2º e 4º, I</t>
  </si>
  <si>
    <t>Toca-fitas</t>
  </si>
  <si>
    <t>2A 6M e 100DM</t>
  </si>
  <si>
    <t>Artigos de higiene pessoal e uma bermuda</t>
  </si>
  <si>
    <t>LORENA MARIA DE ALENCAR NORMANDO DA FONSECA // ASSISTÊNCIA JUDICIÁRIA</t>
  </si>
  <si>
    <t xml:space="preserve">Art. 155, caput </t>
  </si>
  <si>
    <t>AgRg AREsp 611062</t>
  </si>
  <si>
    <t>1 Bolsa mão e R$ 10,00</t>
  </si>
  <si>
    <t>Reiteração delitiva em crimes patrimoniais</t>
  </si>
  <si>
    <t>35 Cremes hidratantes</t>
  </si>
  <si>
    <t>2 Cadeiras</t>
  </si>
  <si>
    <t>Circunstâncias do delito e valor bem</t>
  </si>
  <si>
    <t>Fios da rede elétrica</t>
  </si>
  <si>
    <t>6M 6D e 3DM e 3M detenção</t>
  </si>
  <si>
    <t>1 Fechadura</t>
  </si>
  <si>
    <t>AgRg AREsp 648162</t>
  </si>
  <si>
    <t>DEFENSORIA PÚBLICA DO ESTADO DE MINAS GERAIS //AGTE: MINISTÉRIO PÚBLICO FEDERAL</t>
  </si>
  <si>
    <t>1º grau Absolveu; 2º grau determinou o prosseguimento da ação; STJ Absolveu</t>
  </si>
  <si>
    <t>AgRg HC 322155</t>
  </si>
  <si>
    <t>2 Bicicletas</t>
  </si>
  <si>
    <t>Contumácia delitiva crimes patrimoniais, valor bem e circunstâncias delito</t>
  </si>
  <si>
    <t>Art. 155, § 4º, I, II e IV</t>
  </si>
  <si>
    <t>Art. 155, §§ 2º e  4º, IV</t>
  </si>
  <si>
    <t>2A e 6M de detenção e 17DM</t>
  </si>
  <si>
    <t>1 Bicicleta</t>
  </si>
  <si>
    <t>10M e 19DM</t>
  </si>
  <si>
    <t xml:space="preserve">Contumácia delitiva crimes patrimoniais e valor bem </t>
  </si>
  <si>
    <t xml:space="preserve">Contumácia delitiva crimes patrimoniais </t>
  </si>
  <si>
    <t>1A 5M e 15DM</t>
  </si>
  <si>
    <t>Gêneros alimentícios e 1 Furadeira</t>
  </si>
  <si>
    <t>Art. 155, §§ 2ºe 4º, II</t>
  </si>
  <si>
    <t>2A 6M e 10DM</t>
  </si>
  <si>
    <t>BÁRBARA MARIA FRANCO LIRA // ASSISTÊNCIA JUDICIÁRIA</t>
  </si>
  <si>
    <t>1 Máquina cartão de crédito, gêneros alim. e R$ 57,30</t>
  </si>
  <si>
    <t>Gêneros alimentícios (6 abacaxis)</t>
  </si>
  <si>
    <t>Itens diversos e R$ 30,00</t>
  </si>
  <si>
    <t>50m de Fio de energia elétrica de um poste</t>
  </si>
  <si>
    <t>Consequências do delito - interrupção de energia aos moradores</t>
  </si>
  <si>
    <t>Art. 155, § 2º, c/c art. 14, II</t>
  </si>
  <si>
    <t>6M detenção e 10DM</t>
  </si>
  <si>
    <t>Pára-choque de trator esteira</t>
  </si>
  <si>
    <t>DEFENSORIA PÚBLICA DA UNIÃO // RECTE: MINSTÉRIO PÚBLICO ESTADO DE GOIÁS</t>
  </si>
  <si>
    <t>1 Ventilador e 1 Aparelho DVD</t>
  </si>
  <si>
    <t>Valor do bem e reincidência específica</t>
  </si>
  <si>
    <t>Dando provimento ao recurso p/ restabelecer a sentença condenatória</t>
  </si>
  <si>
    <t>Art. 155, § 4º, I, II e III</t>
  </si>
  <si>
    <t>RIA</t>
  </si>
  <si>
    <t>Art. 155, §§ 2º e 4º, c/c art. 14, II</t>
  </si>
  <si>
    <t>9M 10D e 5DM</t>
  </si>
  <si>
    <t>Itens diversos e R$ 53,00</t>
  </si>
  <si>
    <t>S- Min. ofensiv. conduta, reduzido grau reprovab. comp. e periculos. social</t>
  </si>
  <si>
    <t>1 Motocicleta</t>
  </si>
  <si>
    <t>Circunstâncias do delito, valor bem e reincidência</t>
  </si>
  <si>
    <t>3 Mochilas e 2 Pares de sandálias Havaianas</t>
  </si>
  <si>
    <t>AgRg REsp 1471511</t>
  </si>
  <si>
    <t>1º grau Absolveu; 2º grau Manteve absolv.; STJ Determinou prosseguimento ação</t>
  </si>
  <si>
    <t>Destrancamento</t>
  </si>
  <si>
    <t>2 Armações de ferro de 12m cada</t>
  </si>
  <si>
    <t xml:space="preserve">Valor do bem e reincidência </t>
  </si>
  <si>
    <t>1 Cartão bilhete único</t>
  </si>
  <si>
    <t>1º grau Absolveu; 2º grau Manteve persecução; STJ Absolveu</t>
  </si>
  <si>
    <t xml:space="preserve">11 Galinhas </t>
  </si>
  <si>
    <t>AgRg AREsp 648159</t>
  </si>
  <si>
    <t>Valor bem, primariedade e bons antecedentes</t>
  </si>
  <si>
    <t>DEFENSORIA PÚBLICA DO ESTADO DE MINAS GERAIS //AGTE:: MINISTÉRIO PÚBLICO FEDERAL</t>
  </si>
  <si>
    <t>1º Condenou; 2º grau Manteve; STJ Absolveu</t>
  </si>
  <si>
    <t>Artigos de higiene pessoal</t>
  </si>
  <si>
    <t>4 Facas</t>
  </si>
  <si>
    <t>2A 26D e 9DM</t>
  </si>
  <si>
    <t>REsp 1468879</t>
  </si>
  <si>
    <t>1 Engradado c/ 24 garrafas cervejas vazias</t>
  </si>
  <si>
    <t>AgRg HC 311145</t>
  </si>
  <si>
    <t>Valor do bem e reincidência</t>
  </si>
  <si>
    <t>1A 3M 20D e 12DM</t>
  </si>
  <si>
    <t>1 Rolo com 70m de fio de cobre</t>
  </si>
  <si>
    <t>1A 6M e 15DM</t>
  </si>
  <si>
    <t>Produtos eletrodomésticos</t>
  </si>
  <si>
    <t>Art. 155, §§ 2º e 4º, II, c/c art. 14, II</t>
  </si>
  <si>
    <t xml:space="preserve">Circunstâncias do delito e valor bem </t>
  </si>
  <si>
    <t>DEFENSORIA PÚBLICA DO ESTADO DO RIO DE JANEIRO // RECTE: MINSTÉRIO PÚBLICO DO ESTADO DO RIO DE JANEIRO</t>
  </si>
  <si>
    <t>Dando provimento p/ afastar a insignificência e restabelecer a condenação</t>
  </si>
  <si>
    <t>S - Minim. ofensiv. conduta e inexpressividade da lesão jurídica</t>
  </si>
  <si>
    <t>1A 11M e 45DM</t>
  </si>
  <si>
    <t>10 Sacos de laranjas</t>
  </si>
  <si>
    <t>AgRg AREsp 577880</t>
  </si>
  <si>
    <t>Aparelho som automotivo Pionnerr</t>
  </si>
  <si>
    <t>2 Relógios pulso e R$ 100,00</t>
  </si>
  <si>
    <t>Contumácia delitiva, valor bem e circunstâncias delito</t>
  </si>
  <si>
    <t>3 Carrinhos de mão</t>
  </si>
  <si>
    <t>10M de detenção e 8DM</t>
  </si>
  <si>
    <t>66T</t>
  </si>
  <si>
    <t>Art. 154, § 4º, IV</t>
  </si>
  <si>
    <t>2 Caixas de chicletes e 2 de balas</t>
  </si>
  <si>
    <t>S - Mínima ofensividade conduta e reprovabilidade do comportamento</t>
  </si>
  <si>
    <t xml:space="preserve">2 Relógios pulso </t>
  </si>
  <si>
    <t>6 Barras de chocolate Lacta</t>
  </si>
  <si>
    <t>9M 8D e 26DM</t>
  </si>
  <si>
    <t>1º grau Absolveu; 2º grau Determinou a persecução; STJ Manteve</t>
  </si>
  <si>
    <t>1º grau Absolveu; 2º grau Determinou a persecução; STJ Absolveu</t>
  </si>
  <si>
    <t>AgRg AREsp 829764</t>
  </si>
  <si>
    <t>Itens diversos de material de construção</t>
  </si>
  <si>
    <t>1º grau Absolveu; 2º grau Condenou; STJ Manteve</t>
  </si>
  <si>
    <t>8 Sinalizadores marca Novel</t>
  </si>
  <si>
    <t xml:space="preserve">DEFENSORIA PÚBLICA DO ESTADO DE GOIÁS </t>
  </si>
  <si>
    <t>Art. 155, §§  2º e 4º, IV</t>
  </si>
  <si>
    <t>2 Peças de vestuário</t>
  </si>
  <si>
    <t>Denegando a ordem</t>
  </si>
  <si>
    <t>1 Celular e 1 Carteira c/ R$ 292,00 e documentos</t>
  </si>
  <si>
    <t>1º grau Absolveu; 2º grau Determinou a persecução</t>
  </si>
  <si>
    <t>BRUNO SALES MENEZES // ASSISTÊNCIA JUDICIÁRIA</t>
  </si>
  <si>
    <t>Água tratada da CAESB</t>
  </si>
  <si>
    <t>Circunstâncias do delito (ligação clandestina p/ burlar o hidrômetro)</t>
  </si>
  <si>
    <t>AgRg AREsp 615572</t>
  </si>
  <si>
    <t>1 Calça masculina</t>
  </si>
  <si>
    <t>At. 155, caput</t>
  </si>
  <si>
    <t>2A 1M e 25DM</t>
  </si>
  <si>
    <t>DEFENSORIA PÚBLICA DO ESTADO DO MATO GROSSO DO SUL</t>
  </si>
  <si>
    <t>4M de detenção e 3DM</t>
  </si>
  <si>
    <t>Negando seguimento p/ manter a absolvição por insignificância</t>
  </si>
  <si>
    <t>Valor bem e restituição à vítima</t>
  </si>
  <si>
    <t>DEFENSORIA PÚBLICA DO ESTADO DE MATO GROSSO // RECTE: MINISTÉRIO PÚBLICO DO ESTADO DO MATO GROSSO</t>
  </si>
  <si>
    <t>1º Absolveu 2º grau Absolveu; STJ Manteve</t>
  </si>
  <si>
    <t>2 Latas de cola Cascola</t>
  </si>
  <si>
    <t>Art. 155, § 1º, c/c art. 14, II</t>
  </si>
  <si>
    <t>2 Vigas de madeira</t>
  </si>
  <si>
    <t>Um bilhete único de metrô</t>
  </si>
  <si>
    <t>1 Produto limpeza</t>
  </si>
  <si>
    <t>1º grau Absolveu; 2º grau Determinou a persecução; STJ Trancou</t>
  </si>
  <si>
    <t>Carteira da vítima e R$ 200,00</t>
  </si>
  <si>
    <t>Gêneros alimentícios (1,112kg de carne)</t>
  </si>
  <si>
    <t>Circunstâncias do delito e reincidência</t>
  </si>
  <si>
    <t>1º Absolveu; 2º grau Condenou; STJ Manteve</t>
  </si>
  <si>
    <t>1 Roda c/ peneu e 1 Macaco</t>
  </si>
  <si>
    <t>Valor bem e histórico comportamental (viciada em crack e furta p/ se drogar)</t>
  </si>
  <si>
    <t>5 Camisas e 4 Pares sandálias</t>
  </si>
  <si>
    <t>AgRg AREsp 693873</t>
  </si>
  <si>
    <t>5M 10D e 1DM</t>
  </si>
  <si>
    <t>AgRg AREsp 575314</t>
  </si>
  <si>
    <t>Bicicleta infantil</t>
  </si>
  <si>
    <t>2A 4M 24D de detenção e 12DM</t>
  </si>
  <si>
    <t>RIA c/ Subst</t>
  </si>
  <si>
    <t>Art. 155, §§ 2º e 4º, II e IV</t>
  </si>
  <si>
    <t>1A reclusão e 6M detenção e 15DM</t>
  </si>
  <si>
    <t>7M 15D e 10DM</t>
  </si>
  <si>
    <t>2 Bandeiras</t>
  </si>
  <si>
    <t xml:space="preserve">Valor do bem </t>
  </si>
  <si>
    <t>Concedendo a ordem p/ reconhecer o privilégio  e substituir a pena apenas por multa</t>
  </si>
  <si>
    <t>1 Ventilador e 1 Panela de pressão</t>
  </si>
  <si>
    <t>Produtos de higiene pessoal</t>
  </si>
  <si>
    <t>AgRg Resp 1492641</t>
  </si>
  <si>
    <t xml:space="preserve">Contumácia delitiva crimes patrimoniais e valor do bem </t>
  </si>
  <si>
    <t>1 Motocicleta Honda</t>
  </si>
  <si>
    <t>Art. 155, §§ 2º e  4º, I</t>
  </si>
  <si>
    <t>Dando parcial provimento p/ excluir a qualificadora e refazer a dosimerria</t>
  </si>
  <si>
    <t>Dando parcial provimrnto p/ fixar a pena de 1A 4M e 10DM no RIA</t>
  </si>
  <si>
    <t>1A 8M e 10DM</t>
  </si>
  <si>
    <t>4 Garrafas térmicas e 7 itens de vestuário</t>
  </si>
  <si>
    <t>AREsp578531</t>
  </si>
  <si>
    <t>2A e 24DM</t>
  </si>
  <si>
    <t>HC341943</t>
  </si>
  <si>
    <t xml:space="preserve">Multirreincidência </t>
  </si>
  <si>
    <t xml:space="preserve">100m de Fios </t>
  </si>
  <si>
    <t>1A 6M 20D e 20DM</t>
  </si>
  <si>
    <t>AgRg REsp 1483746</t>
  </si>
  <si>
    <t>AgRg REsp 1508054</t>
  </si>
  <si>
    <t>AgRg REsp 1503900</t>
  </si>
  <si>
    <t>AgRg REsp 1467140</t>
  </si>
  <si>
    <t>AgRg REsp 1521739</t>
  </si>
  <si>
    <t>REsp1525562</t>
  </si>
  <si>
    <t>Art. 155, caput, § 2º, c/c art. 16</t>
  </si>
  <si>
    <t>7M de detenção e 6DM</t>
  </si>
  <si>
    <t>RHC   73065</t>
  </si>
  <si>
    <t>HIGOR PEDROSO NEVES</t>
  </si>
  <si>
    <t>1 Blusa  deminina</t>
  </si>
  <si>
    <t>RHC   54806</t>
  </si>
  <si>
    <t>Dando provimrnto p/ trancar a ação penal por insignificância</t>
  </si>
  <si>
    <t>2 Desodorantes Rexona</t>
  </si>
  <si>
    <t>Restituídos</t>
  </si>
  <si>
    <t>AREsp564021</t>
  </si>
  <si>
    <t>Módulo de som automotivo</t>
  </si>
  <si>
    <t>THIAGO ALMEIDA MORATO MENDONÇA// ASSISTÊNCIA JUDICIÁRIA</t>
  </si>
  <si>
    <t>1A 4M e 6 DM</t>
  </si>
  <si>
    <t>AREsp699427</t>
  </si>
  <si>
    <t>1º grau Absolveu; 2º grau determinou prosseguimento; STJ manteve</t>
  </si>
  <si>
    <t>1º grau Condenou; 2º grau Absolveu; STJ Condenou</t>
  </si>
  <si>
    <t>HC339344</t>
  </si>
  <si>
    <t>At. 155, § 4º, I, c/ art. 14, II</t>
  </si>
  <si>
    <t>1A 11M 10D e 8DM</t>
  </si>
  <si>
    <t>AgRg REsp 1521292</t>
  </si>
  <si>
    <t>S - Inexpressividade lesão e reprovabilidade do compotamento</t>
  </si>
  <si>
    <t>HC318080</t>
  </si>
  <si>
    <t>Ordem concedida p/ restabelecer a absolvição sumária por insignificância</t>
  </si>
  <si>
    <t>4 Energéticos e 8 Desodorantes</t>
  </si>
  <si>
    <t>Devolução dos bens e mínima ofensividade</t>
  </si>
  <si>
    <t>1º grau Absolveu; 2º grau determinou prosseguimento; STJ Absolveu</t>
  </si>
  <si>
    <t>HC321745</t>
  </si>
  <si>
    <t>1 Blusa</t>
  </si>
  <si>
    <t>Valor bem, restituição e falta interesse social</t>
  </si>
  <si>
    <t>S -Todos de forma genérica</t>
  </si>
  <si>
    <t>HC311640</t>
  </si>
  <si>
    <t>09/112/2014</t>
  </si>
  <si>
    <t>Circunstâncias delito e contumácia delitiva crimes patrimoniais</t>
  </si>
  <si>
    <t>HC314076</t>
  </si>
  <si>
    <t>HC318416</t>
  </si>
  <si>
    <t>1A 4M e 11DM</t>
  </si>
  <si>
    <t>AgRg AREsp 608038</t>
  </si>
  <si>
    <t>DEFENSORIA PÚBLICA DO DISTRITO FEDRAL E TERRITÓRIOS</t>
  </si>
  <si>
    <t>Art. 155, § 4º, I, c/ art. 14, II</t>
  </si>
  <si>
    <t>AgRg AREsp 644505</t>
  </si>
  <si>
    <t>Circunstâncias do delito e valor do bem</t>
  </si>
  <si>
    <t>Art. 155, §§ 2º e 4º, I</t>
  </si>
  <si>
    <t>ASSISTÊNCIA JUDICIÁRIA</t>
  </si>
  <si>
    <t>ADVOGADO</t>
  </si>
  <si>
    <t>APLICOU A INSIGNIFICÂNCIA?</t>
  </si>
  <si>
    <t>MÍN. OFENS. CONDUTA</t>
  </si>
  <si>
    <t>AUSENC. PERICUL. SOCIAL</t>
  </si>
  <si>
    <t>REDUZ. GRAU REPROV. COMPORT.</t>
  </si>
  <si>
    <t>FALA DOS VETORES?</t>
  </si>
  <si>
    <t>Reincidêcia específica</t>
  </si>
  <si>
    <t xml:space="preserve">Dando parcial provimento p/ excluir a qualificadora </t>
  </si>
  <si>
    <t>DEFENSORIA PÚBLICA ESTADUAL</t>
  </si>
  <si>
    <t>MOTIVOS PREDOMINANTES P/ NEGATIVA OU CONCESSÃO</t>
  </si>
  <si>
    <t>Irrelevância da ofensa ao bem jurídico</t>
  </si>
  <si>
    <t>BONS ANTECED./PRIMARIEDADE</t>
  </si>
  <si>
    <t>DEVOLUÇÃO/RESTITUIÇÃO</t>
  </si>
  <si>
    <t>Circunstâncias do delito e Multirreincidência específica</t>
  </si>
  <si>
    <t>Vetores favoráveis</t>
  </si>
  <si>
    <t>Reprovabilidade comportamento pelo valor do bem</t>
  </si>
  <si>
    <t>S - Periculosidade social</t>
  </si>
  <si>
    <t>Falta interesse social pelo ínfimo valor bem</t>
  </si>
  <si>
    <t>Reprovabilidade do comportamento por possuir diversos registros criminais</t>
  </si>
  <si>
    <t xml:space="preserve">Valor bem e restituição </t>
  </si>
  <si>
    <t>Restituição à vítima</t>
  </si>
  <si>
    <t>Valor bem, reiteração delitiva e circunstâncias do delito</t>
  </si>
  <si>
    <t>Falta interesse estatal pelo reduzido valor do bem</t>
  </si>
  <si>
    <t>Carteira (Carolina Herrera U$ 500) e R$ 110,00</t>
  </si>
  <si>
    <t>DIAS_MULTA</t>
  </si>
  <si>
    <t xml:space="preserve">RIS </t>
  </si>
  <si>
    <t xml:space="preserve">2A e 9M e 10DM </t>
  </si>
  <si>
    <t>2A 4M e 15DM</t>
  </si>
  <si>
    <t xml:space="preserve">3A 3M e 19DM </t>
  </si>
  <si>
    <t xml:space="preserve">2A 4M e 10DM </t>
  </si>
  <si>
    <t xml:space="preserve"> RIS</t>
  </si>
  <si>
    <t xml:space="preserve">2A 4M e 11DM </t>
  </si>
  <si>
    <t xml:space="preserve">RIA c/ Subst. </t>
  </si>
  <si>
    <t xml:space="preserve">8M e 3DM </t>
  </si>
  <si>
    <t>PENA RCL_ ANOS</t>
  </si>
  <si>
    <t>PENA RCL_MESES</t>
  </si>
  <si>
    <t>PENA RCL_DIAS</t>
  </si>
  <si>
    <t>PENA DTN_MESES</t>
  </si>
  <si>
    <t>PENA DTN_ANOS</t>
  </si>
  <si>
    <t>PENA DTN_DIAS</t>
  </si>
  <si>
    <t>FAIXA_PERCENTUAL SM</t>
  </si>
  <si>
    <t>REGIME_INICIAL</t>
  </si>
  <si>
    <t>PROVIDÊNCIA_BUSCADA</t>
  </si>
  <si>
    <t>Fechado</t>
  </si>
  <si>
    <t>Semiaberto</t>
  </si>
  <si>
    <t>Aberto</t>
  </si>
  <si>
    <t>Medida de segurança</t>
  </si>
  <si>
    <t>Fechado (R)/Semiaberto (D)</t>
  </si>
  <si>
    <t>SUBSTITUIÇÃO_PENA</t>
  </si>
  <si>
    <t>CONSUMADO OU TENTADO?</t>
  </si>
  <si>
    <t>Simples</t>
  </si>
  <si>
    <t>Qualificado</t>
  </si>
  <si>
    <t>Privilegiado</t>
  </si>
  <si>
    <t>Privilegiado e qualificado</t>
  </si>
  <si>
    <t>Privilegiado e Qualificado</t>
  </si>
  <si>
    <t>Energia Elétrica</t>
  </si>
  <si>
    <t>CONTINUIDADE _DELITIVA</t>
  </si>
  <si>
    <t>Art. 155, caput,  c/c art. 14, II, c/c os arts. 307 e 329, n/f art. 69</t>
  </si>
  <si>
    <t>Art. 155, § 1º, c/c 163, n/f  art. 69</t>
  </si>
  <si>
    <t>Art. 155, caput, c/c art. 307, n/f art. 69</t>
  </si>
  <si>
    <t>Art. 155, § 4º, IV, c/c art. 329, n/f art. 69</t>
  </si>
  <si>
    <t xml:space="preserve">Art. 155, caput, c/c art. 14, II, c/c Art. 155, § 2º, n/f art. 71, </t>
  </si>
  <si>
    <t>Art. 155, § 4º, IV, c/c art. 14, II, c/c art. 155, caput, n/f art. 71</t>
  </si>
  <si>
    <t>Art. 155, § 4º, II, c/c art. 28 Lei 11.343/2006, n/f art. 69</t>
  </si>
  <si>
    <t>Art. 155, caput, § 2º, c/c arts. 129 e 329, n/f art. 69</t>
  </si>
  <si>
    <t>Art. 155, caput, e art. 150, caput, n/f art. 69</t>
  </si>
  <si>
    <t>Art. 155, § § 1º e 4º,  II, e Art. 155, §§ 1º e 4º, IV, I e II, c/c art. 14, II, n/f art. 69</t>
  </si>
  <si>
    <t>Art. 155, § 4º, IV, c/c art. 14, II e Art. 244-B, Lei 8.069/1990, n/f art. 69</t>
  </si>
  <si>
    <t>Art. 155, caput, c/c Art. 155, caput, c/c art. 14, II, n/f art. 71</t>
  </si>
  <si>
    <t>Art. 155, §2º e 4º, I e IV, c/c art. 14, II, c/c Art. 307, caput, n/f art. 69</t>
  </si>
  <si>
    <t>Art. 155, caput, c/c Art. 155, § 4º, IV, n/f art. 71</t>
  </si>
  <si>
    <t>Art. 155, caput, § 2º, c/c Art. 180, caput, n/f art. 69</t>
  </si>
  <si>
    <t>Art. 155, § 4º, IV, c/c Art. 244-B, Lei 8.069/1990, n/f art. 70, caput, primeira parte</t>
  </si>
  <si>
    <t>Art. 155, § 4º, I e II, c/c art. 14, II, c/c Art. 163, parágrafo único, III, n/f art. 69</t>
  </si>
  <si>
    <t>MAUS_ANTECEDENTES</t>
  </si>
  <si>
    <t>REINCIDÊNCIA</t>
  </si>
  <si>
    <t>HABITUL._DELITIVA</t>
  </si>
  <si>
    <t>REG./PASS POLÍC./ATOS INFRAC.</t>
  </si>
  <si>
    <t>RESTITUÍDO/REPARADO</t>
  </si>
  <si>
    <t>INFORMAÇÃO_ADICIONAL</t>
  </si>
  <si>
    <t>PENA_RECL_ TOTAL MESES</t>
  </si>
  <si>
    <t>PENA_DETN_TOTAL MESES</t>
  </si>
  <si>
    <t>PENA TOTAL APLICADA</t>
  </si>
  <si>
    <t>CRIME_ CONCURSO</t>
  </si>
  <si>
    <t>DELITO(S)_COMETIDO</t>
  </si>
  <si>
    <t>VLR FURTADO/SAL_MÍNIMO %</t>
  </si>
  <si>
    <t>SAL_ MÍNIMO R$</t>
  </si>
  <si>
    <t>TIPO_DEFESA</t>
  </si>
  <si>
    <t>DATA_FATO</t>
  </si>
  <si>
    <t>VLR_FURTADO R$</t>
  </si>
  <si>
    <t>BENS_ FURTADOS</t>
  </si>
  <si>
    <t>REPRESENTAÇÃO_ PROCESSUAL</t>
  </si>
  <si>
    <t>HABIT./REITER_DELIT. (APC/RC)</t>
  </si>
  <si>
    <t>TEOR _DECISÃO</t>
  </si>
  <si>
    <t>VALOR_ BEM (RELEV./IRRELEV.)</t>
  </si>
  <si>
    <t>REINCID./MAUS_ ANTEC.</t>
  </si>
  <si>
    <t>CIRCUNSTÂNCIAS_ DELITO</t>
  </si>
  <si>
    <t>FUNDAMENTOS_DOSIMETRIA</t>
  </si>
  <si>
    <t>INEXPRES. LESÃO JURID.</t>
  </si>
  <si>
    <t>MODALIDADE_FURTO</t>
  </si>
  <si>
    <t>REPOUSO_NOTURNO</t>
  </si>
  <si>
    <t>Art. 155, §§ 2º e 4º, I e IV</t>
  </si>
  <si>
    <t>TIPO_BEM (MAIOR_VALOR)</t>
  </si>
  <si>
    <t>Dinheiro</t>
  </si>
  <si>
    <t>Uso pessoal</t>
  </si>
  <si>
    <t>Outros</t>
  </si>
  <si>
    <t>Eletrônicos</t>
  </si>
  <si>
    <t>1º Grau</t>
  </si>
  <si>
    <t>2º Grau</t>
  </si>
  <si>
    <t>STJ</t>
  </si>
  <si>
    <t>Absolveu</t>
  </si>
  <si>
    <t>Prosseguimento Ação</t>
  </si>
  <si>
    <t>Condenou</t>
  </si>
  <si>
    <t>S - Reprovab. Comportamento+A1:BR305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</si>
</sst>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</cellXfs>
  <cellStyles count="2">
    <cellStyle name="Hiperlink" xfId="1" builtinId="8"/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B2A9CF-F660-4D32-AD35-615DC23FFEBA}" name="Tabela1" displayName="Tabela1" ref="Q1:W305" totalsRowShown="0" headerRowDxfId="10" dataDxfId="8" headerRowBorderDxfId="9" tableBorderDxfId="7">
  <autoFilter ref="Q1:W305" xr:uid="{FDB2A9CF-F660-4D32-AD35-615DC23FFEBA}"/>
  <tableColumns count="7">
    <tableColumn id="1" xr3:uid="{4644588C-2EF5-4133-B3BB-C44E75EB796D}" name="VALOR_ BEM (RELEV./IRRELEV.)" dataDxfId="6"/>
    <tableColumn id="2" xr3:uid="{6BA279EF-B9F6-4CE2-BEDA-142B9F1A0300}" name="REINCID./MAUS_ ANTEC." dataDxfId="5"/>
    <tableColumn id="3" xr3:uid="{52F77DCC-B088-436F-9430-0DE52404EAD6}" name="HABIT./REITER_DELIT. (APC/RC)" dataDxfId="4"/>
    <tableColumn id="4" xr3:uid="{47B1433D-9677-49BE-A646-C705D3DB3948}" name="CIRCUNSTÂNCIAS_ DELITO" dataDxfId="3"/>
    <tableColumn id="5" xr3:uid="{990A35E6-D519-46E7-BB0B-7012E7451B1D}" name="BONS ANTECED./PRIMARIEDADE" dataDxfId="2"/>
    <tableColumn id="6" xr3:uid="{15063AF8-AAC7-45B8-B996-78EB407C965F}" name="DEVOLUÇÃO/RESTITUIÇÃO" dataDxfId="1"/>
    <tableColumn id="7" xr3:uid="{009BB863-4047-4A8D-A5E8-320BF7E0A37F}" name="FUNDAMENTOS_DOSIMETRI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18"/>
  <sheetViews>
    <sheetView tabSelected="1" topLeftCell="C302" zoomScaleNormal="100" workbookViewId="0">
      <selection activeCell="P3" sqref="P3"/>
    </sheetView>
  </sheetViews>
  <sheetFormatPr defaultRowHeight="14.4" x14ac:dyDescent="0.3"/>
  <cols>
    <col min="1" max="1" width="19.33203125" style="6" hidden="1" customWidth="1"/>
    <col min="2" max="2" width="22.77734375" style="6" hidden="1" customWidth="1"/>
    <col min="3" max="3" width="18.33203125" style="6" customWidth="1"/>
    <col min="4" max="4" width="8.33203125" style="6" customWidth="1"/>
    <col min="5" max="5" width="23.88671875" style="6" hidden="1" customWidth="1"/>
    <col min="6" max="6" width="19.77734375" style="6" customWidth="1"/>
    <col min="7" max="7" width="18.77734375" style="6" customWidth="1"/>
    <col min="8" max="8" width="29.6640625" style="8" customWidth="1"/>
    <col min="9" max="9" width="17" style="3" hidden="1" customWidth="1"/>
    <col min="10" max="10" width="23.21875" style="3" hidden="1" customWidth="1"/>
    <col min="11" max="11" width="0.109375" customWidth="1"/>
    <col min="12" max="12" width="14.44140625" customWidth="1"/>
    <col min="13" max="13" width="69.21875" customWidth="1"/>
    <col min="14" max="14" width="37.109375" customWidth="1"/>
    <col min="15" max="15" width="26.88671875" customWidth="1"/>
    <col min="16" max="16" width="63.33203125" customWidth="1"/>
    <col min="17" max="17" width="29.88671875" customWidth="1"/>
    <col min="18" max="18" width="24.21875" customWidth="1"/>
    <col min="19" max="19" width="29.77734375" customWidth="1"/>
    <col min="20" max="20" width="25.33203125" customWidth="1"/>
    <col min="21" max="21" width="30.5546875" customWidth="1"/>
    <col min="22" max="22" width="25.6640625" customWidth="1"/>
    <col min="23" max="23" width="28.109375" customWidth="1"/>
    <col min="24" max="24" width="59.109375" customWidth="1"/>
    <col min="25" max="25" width="20.33203125" customWidth="1"/>
    <col min="26" max="26" width="21.77734375" customWidth="1"/>
    <col min="27" max="27" width="24" customWidth="1"/>
    <col min="28" max="28" width="29.77734375" customWidth="1"/>
    <col min="29" max="29" width="21.44140625" customWidth="1"/>
    <col min="30" max="30" width="18.6640625" customWidth="1"/>
    <col min="31" max="31" width="0.21875" style="3" customWidth="1"/>
    <col min="32" max="32" width="32.88671875" style="3" customWidth="1"/>
    <col min="33" max="33" width="26.88671875" style="3" customWidth="1"/>
    <col min="34" max="34" width="13.88671875" style="3" customWidth="1"/>
    <col min="35" max="35" width="17.5546875" style="3" customWidth="1"/>
    <col min="36" max="36" width="19" customWidth="1"/>
    <col min="37" max="37" width="28.109375" customWidth="1"/>
    <col min="38" max="38" width="23.33203125" customWidth="1"/>
    <col min="39" max="39" width="44.88671875" customWidth="1"/>
    <col min="40" max="40" width="24.6640625" customWidth="1"/>
    <col min="41" max="41" width="26.33203125" customWidth="1"/>
    <col min="42" max="42" width="21.21875" customWidth="1"/>
    <col min="43" max="43" width="65.109375" customWidth="1"/>
    <col min="44" max="44" width="20.6640625" customWidth="1"/>
    <col min="45" max="45" width="25" customWidth="1"/>
    <col min="46" max="46" width="19.109375" customWidth="1"/>
    <col min="47" max="47" width="23.21875" customWidth="1"/>
    <col min="48" max="48" width="17.44140625" customWidth="1"/>
    <col min="49" max="49" width="57.5546875" customWidth="1"/>
    <col min="50" max="51" width="15.77734375" customWidth="1"/>
    <col min="52" max="52" width="14.88671875" customWidth="1"/>
    <col min="53" max="53" width="25.33203125" customWidth="1"/>
    <col min="54" max="54" width="13.5546875" customWidth="1"/>
    <col min="55" max="55" width="15.77734375" customWidth="1"/>
    <col min="56" max="56" width="16.88671875" customWidth="1"/>
    <col min="57" max="57" width="15.33203125" customWidth="1"/>
    <col min="58" max="58" width="24.5546875" customWidth="1"/>
    <col min="59" max="59" width="18.21875" customWidth="1"/>
    <col min="60" max="60" width="24.109375" customWidth="1"/>
    <col min="61" max="61" width="19.77734375" customWidth="1"/>
    <col min="62" max="62" width="22.77734375" customWidth="1"/>
    <col min="63" max="63" width="20.109375" customWidth="1"/>
    <col min="64" max="64" width="13.77734375" customWidth="1"/>
    <col min="65" max="65" width="18" customWidth="1"/>
    <col min="66" max="66" width="29" customWidth="1"/>
    <col min="67" max="67" width="68.33203125" customWidth="1"/>
    <col min="68" max="68" width="10.88671875" customWidth="1"/>
    <col min="69" max="69" width="19.44140625" customWidth="1"/>
    <col min="70" max="70" width="18.6640625" customWidth="1"/>
  </cols>
  <sheetData>
    <row r="1" spans="1:70" ht="52.2" customHeight="1" x14ac:dyDescent="0.3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" t="s">
        <v>8</v>
      </c>
      <c r="J1" s="2" t="s">
        <v>9</v>
      </c>
      <c r="K1" s="1" t="s">
        <v>10</v>
      </c>
      <c r="L1" s="4" t="s">
        <v>694</v>
      </c>
      <c r="M1" s="4" t="s">
        <v>1442</v>
      </c>
      <c r="N1" s="4" t="s">
        <v>708</v>
      </c>
      <c r="O1" s="4" t="s">
        <v>1350</v>
      </c>
      <c r="P1" s="4" t="s">
        <v>1358</v>
      </c>
      <c r="Q1" s="30" t="s">
        <v>1443</v>
      </c>
      <c r="R1" s="30" t="s">
        <v>1444</v>
      </c>
      <c r="S1" s="30" t="s">
        <v>1441</v>
      </c>
      <c r="T1" s="30" t="s">
        <v>1445</v>
      </c>
      <c r="U1" s="30" t="s">
        <v>1360</v>
      </c>
      <c r="V1" s="30" t="s">
        <v>1361</v>
      </c>
      <c r="W1" s="30" t="s">
        <v>1446</v>
      </c>
      <c r="X1" s="9" t="s">
        <v>820</v>
      </c>
      <c r="Y1" s="9" t="s">
        <v>1354</v>
      </c>
      <c r="Z1" s="9" t="s">
        <v>1351</v>
      </c>
      <c r="AA1" s="9" t="s">
        <v>1352</v>
      </c>
      <c r="AB1" s="9" t="s">
        <v>1353</v>
      </c>
      <c r="AC1" s="4" t="s">
        <v>1447</v>
      </c>
      <c r="AD1" s="4" t="s">
        <v>11</v>
      </c>
      <c r="AE1" s="2" t="s">
        <v>12</v>
      </c>
      <c r="AF1" s="5" t="s">
        <v>1440</v>
      </c>
      <c r="AG1" s="34" t="s">
        <v>1436</v>
      </c>
      <c r="AH1" s="34" t="s">
        <v>1437</v>
      </c>
      <c r="AI1" s="34" t="s">
        <v>1435</v>
      </c>
      <c r="AJ1" s="30" t="s">
        <v>1438</v>
      </c>
      <c r="AK1" s="30" t="s">
        <v>1434</v>
      </c>
      <c r="AL1" s="30" t="s">
        <v>1389</v>
      </c>
      <c r="AM1" s="30" t="s">
        <v>1439</v>
      </c>
      <c r="AN1" s="30" t="s">
        <v>1451</v>
      </c>
      <c r="AO1" s="17" t="s">
        <v>700</v>
      </c>
      <c r="AP1" s="30" t="s">
        <v>1427</v>
      </c>
      <c r="AQ1" s="30" t="s">
        <v>1433</v>
      </c>
      <c r="AR1" s="30" t="s">
        <v>1448</v>
      </c>
      <c r="AS1" s="30" t="s">
        <v>1398</v>
      </c>
      <c r="AT1" s="30" t="s">
        <v>1449</v>
      </c>
      <c r="AU1" s="30" t="s">
        <v>1405</v>
      </c>
      <c r="AV1" s="30" t="s">
        <v>1432</v>
      </c>
      <c r="AW1" s="30" t="s">
        <v>1431</v>
      </c>
      <c r="AX1" s="30" t="s">
        <v>1383</v>
      </c>
      <c r="AY1" s="30" t="s">
        <v>1384</v>
      </c>
      <c r="AZ1" s="30" t="s">
        <v>1385</v>
      </c>
      <c r="BA1" s="30" t="s">
        <v>1429</v>
      </c>
      <c r="BB1" s="30" t="s">
        <v>1373</v>
      </c>
      <c r="BC1" s="30" t="s">
        <v>1387</v>
      </c>
      <c r="BD1" s="30" t="s">
        <v>1386</v>
      </c>
      <c r="BE1" s="30" t="s">
        <v>1388</v>
      </c>
      <c r="BF1" s="30" t="s">
        <v>1430</v>
      </c>
      <c r="BG1" s="17" t="s">
        <v>605</v>
      </c>
      <c r="BH1" s="30" t="s">
        <v>1390</v>
      </c>
      <c r="BI1" s="30" t="s">
        <v>1397</v>
      </c>
      <c r="BJ1" s="30" t="s">
        <v>1391</v>
      </c>
      <c r="BK1" s="30" t="s">
        <v>1423</v>
      </c>
      <c r="BL1" s="30" t="s">
        <v>1424</v>
      </c>
      <c r="BM1" s="30" t="s">
        <v>1425</v>
      </c>
      <c r="BN1" s="30" t="s">
        <v>1426</v>
      </c>
      <c r="BO1" s="30" t="s">
        <v>1428</v>
      </c>
      <c r="BP1" s="30" t="s">
        <v>1456</v>
      </c>
      <c r="BQ1" s="30" t="s">
        <v>1457</v>
      </c>
      <c r="BR1" s="30" t="s">
        <v>1458</v>
      </c>
    </row>
    <row r="2" spans="1:70" ht="52.2" customHeight="1" x14ac:dyDescent="0.3">
      <c r="A2" s="6">
        <v>687406</v>
      </c>
      <c r="B2" s="6" t="s">
        <v>13</v>
      </c>
      <c r="C2" s="15" t="s">
        <v>606</v>
      </c>
      <c r="D2" s="6" t="s">
        <v>14</v>
      </c>
      <c r="E2" s="6" t="s">
        <v>15</v>
      </c>
      <c r="F2" s="7">
        <v>42111</v>
      </c>
      <c r="G2" s="7">
        <v>42293</v>
      </c>
      <c r="H2" s="8" t="s">
        <v>16</v>
      </c>
      <c r="I2" s="3" t="s">
        <v>17</v>
      </c>
      <c r="J2" s="3" t="s">
        <v>18</v>
      </c>
      <c r="K2" t="s">
        <v>19</v>
      </c>
      <c r="L2" s="6" t="s">
        <v>695</v>
      </c>
      <c r="M2" s="14" t="s">
        <v>607</v>
      </c>
      <c r="N2" s="6" t="s">
        <v>657</v>
      </c>
      <c r="O2" s="6">
        <v>0</v>
      </c>
      <c r="P2" s="6" t="s">
        <v>697</v>
      </c>
      <c r="Q2" s="35">
        <v>1</v>
      </c>
      <c r="R2" s="35">
        <v>1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6" t="s">
        <v>1462</v>
      </c>
      <c r="Y2" s="6">
        <v>1</v>
      </c>
      <c r="Z2" s="6">
        <v>0</v>
      </c>
      <c r="AA2" s="6">
        <v>0</v>
      </c>
      <c r="AB2" s="6">
        <v>1</v>
      </c>
      <c r="AC2" s="6">
        <v>0</v>
      </c>
      <c r="AD2" s="14" t="s">
        <v>21</v>
      </c>
      <c r="AE2" s="3" t="s">
        <v>22</v>
      </c>
      <c r="AF2" s="13" t="s">
        <v>23</v>
      </c>
      <c r="AG2" s="8" t="s">
        <v>1357</v>
      </c>
      <c r="AH2" s="11">
        <v>39746</v>
      </c>
      <c r="AI2" s="10">
        <v>415</v>
      </c>
      <c r="AJ2" s="12">
        <v>127</v>
      </c>
      <c r="AK2" s="12">
        <f>IFERROR((AJ2/AI2)*100,"")</f>
        <v>30.602409638554217</v>
      </c>
      <c r="AL2" s="12" t="str">
        <f>IF(AK2=0,"Não Informado",IF(AK2&lt;=10,"Até 10%",IF(AK2&lt;=25,"10% a 25%",IF(AK2&lt;=50,"25% a 50%","Acima de 50%"))))</f>
        <v>25% a 50%</v>
      </c>
      <c r="AM2" s="12" t="s">
        <v>608</v>
      </c>
      <c r="AN2" s="12" t="s">
        <v>1452</v>
      </c>
      <c r="AO2" s="12" t="s">
        <v>699</v>
      </c>
      <c r="AP2" s="6">
        <v>0</v>
      </c>
      <c r="AQ2" s="6" t="s">
        <v>613</v>
      </c>
      <c r="AR2" s="6" t="s">
        <v>1399</v>
      </c>
      <c r="AS2" s="6">
        <v>1</v>
      </c>
      <c r="AT2" s="6">
        <v>0</v>
      </c>
      <c r="AU2" s="6">
        <v>0</v>
      </c>
      <c r="AV2" s="6">
        <v>0</v>
      </c>
      <c r="AW2" s="6" t="s">
        <v>612</v>
      </c>
      <c r="AX2" s="31">
        <v>2</v>
      </c>
      <c r="AY2" s="31">
        <v>3</v>
      </c>
      <c r="AZ2" s="31">
        <v>0</v>
      </c>
      <c r="BA2" s="12">
        <f>(AX2*365+AY2*30+AZ2)/30</f>
        <v>27.333333333333332</v>
      </c>
      <c r="BB2" s="31">
        <v>22</v>
      </c>
      <c r="BC2" s="31">
        <v>0</v>
      </c>
      <c r="BD2" s="31">
        <v>0</v>
      </c>
      <c r="BE2" s="31">
        <v>0</v>
      </c>
      <c r="BF2" s="12">
        <f>(BC2*365+BD2*30+BE2)/30</f>
        <v>0</v>
      </c>
      <c r="BG2" s="6" t="s">
        <v>611</v>
      </c>
      <c r="BH2" s="6" t="s">
        <v>1392</v>
      </c>
      <c r="BI2" s="6">
        <v>0</v>
      </c>
      <c r="BJ2" s="6" t="s">
        <v>609</v>
      </c>
      <c r="BK2" s="6">
        <v>0</v>
      </c>
      <c r="BL2" s="6">
        <v>1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</row>
    <row r="3" spans="1:70" ht="43.2" customHeight="1" x14ac:dyDescent="0.3">
      <c r="A3" s="6">
        <v>308658</v>
      </c>
      <c r="B3" s="6" t="s">
        <v>24</v>
      </c>
      <c r="C3" s="25" t="s">
        <v>1327</v>
      </c>
      <c r="D3" s="6" t="s">
        <v>14</v>
      </c>
      <c r="E3" s="6" t="s">
        <v>15</v>
      </c>
      <c r="F3" s="7">
        <v>42072</v>
      </c>
      <c r="G3" s="7">
        <v>42991</v>
      </c>
      <c r="H3" s="8" t="s">
        <v>52</v>
      </c>
      <c r="I3" s="3" t="s">
        <v>17</v>
      </c>
      <c r="J3" s="3" t="s">
        <v>18</v>
      </c>
      <c r="K3" t="s">
        <v>19</v>
      </c>
      <c r="L3" s="6" t="s">
        <v>695</v>
      </c>
      <c r="M3" s="14" t="s">
        <v>1328</v>
      </c>
      <c r="N3" s="6" t="s">
        <v>703</v>
      </c>
      <c r="O3" s="6">
        <v>1</v>
      </c>
      <c r="P3" s="6" t="s">
        <v>1330</v>
      </c>
      <c r="Q3" s="35">
        <v>0</v>
      </c>
      <c r="R3" s="35">
        <v>0</v>
      </c>
      <c r="S3" s="35">
        <v>0</v>
      </c>
      <c r="T3" s="35">
        <v>1</v>
      </c>
      <c r="U3" s="35">
        <v>0</v>
      </c>
      <c r="V3" s="35">
        <v>1</v>
      </c>
      <c r="W3" s="35">
        <v>0</v>
      </c>
      <c r="X3" s="6" t="s">
        <v>860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14" t="s">
        <v>21</v>
      </c>
      <c r="AE3" s="3" t="s">
        <v>25</v>
      </c>
      <c r="AF3" s="13" t="s">
        <v>23</v>
      </c>
      <c r="AG3" s="8" t="s">
        <v>1357</v>
      </c>
      <c r="AH3" s="11">
        <v>41079</v>
      </c>
      <c r="AI3" s="10">
        <v>622</v>
      </c>
      <c r="AJ3" s="12">
        <v>106.88</v>
      </c>
      <c r="AK3" s="12">
        <f t="shared" ref="AK3:AK66" si="0">IFERROR((AJ3/AI3)*100,"")</f>
        <v>17.183279742765272</v>
      </c>
      <c r="AL3" s="12" t="str">
        <f t="shared" ref="AL3:AL68" si="1">IF(AK3=0,"Não Informado",IF(AK3&lt;=10,"Até 10%",IF(AK3&lt;=25,"10% a 25%",IF(AK3&lt;=50,"25% a 50%","Acima de 50%"))))</f>
        <v>10% a 25%</v>
      </c>
      <c r="AM3" s="6" t="s">
        <v>1329</v>
      </c>
      <c r="AN3" s="6" t="s">
        <v>1453</v>
      </c>
      <c r="AO3" s="6" t="s">
        <v>701</v>
      </c>
      <c r="AP3" s="6">
        <v>1</v>
      </c>
      <c r="AQ3" s="6" t="s">
        <v>613</v>
      </c>
      <c r="AR3" s="6" t="s">
        <v>1399</v>
      </c>
      <c r="AS3" s="6">
        <v>1</v>
      </c>
      <c r="AT3" s="6">
        <v>0</v>
      </c>
      <c r="AU3" s="6">
        <v>0</v>
      </c>
      <c r="AV3" s="6">
        <v>0</v>
      </c>
      <c r="AW3" s="6">
        <v>0</v>
      </c>
      <c r="AX3" s="31">
        <v>0</v>
      </c>
      <c r="AY3" s="31">
        <v>0</v>
      </c>
      <c r="AZ3" s="31">
        <v>0</v>
      </c>
      <c r="BA3" s="12">
        <f t="shared" ref="BA3:BA66" si="2">(AX3*365+AY3*30+AZ3)/30</f>
        <v>0</v>
      </c>
      <c r="BB3" s="31">
        <v>0</v>
      </c>
      <c r="BC3" s="31">
        <v>0</v>
      </c>
      <c r="BD3" s="31">
        <v>0</v>
      </c>
      <c r="BE3" s="31">
        <v>0</v>
      </c>
      <c r="BF3" s="12">
        <f t="shared" ref="BF3:BF66" si="3">(BC3*365+BD3*30+BE3)/30</f>
        <v>0</v>
      </c>
      <c r="BG3" s="6">
        <v>0</v>
      </c>
      <c r="BH3" s="6">
        <v>0</v>
      </c>
      <c r="BI3" s="6">
        <v>0</v>
      </c>
      <c r="BJ3" s="23" t="s">
        <v>620</v>
      </c>
      <c r="BK3" s="23">
        <v>0</v>
      </c>
      <c r="BL3" s="23">
        <v>0</v>
      </c>
      <c r="BM3" s="23">
        <v>0</v>
      </c>
      <c r="BN3" s="23">
        <v>0</v>
      </c>
      <c r="BO3" s="6" t="s">
        <v>1331</v>
      </c>
      <c r="BP3" s="6" t="s">
        <v>1459</v>
      </c>
      <c r="BQ3" s="6" t="s">
        <v>1460</v>
      </c>
      <c r="BR3" s="6" t="s">
        <v>1459</v>
      </c>
    </row>
    <row r="4" spans="1:70" ht="52.2" customHeight="1" x14ac:dyDescent="0.3">
      <c r="A4" s="6">
        <v>1501730</v>
      </c>
      <c r="B4" s="6" t="s">
        <v>26</v>
      </c>
      <c r="C4" s="15" t="s">
        <v>27</v>
      </c>
      <c r="D4" s="6" t="s">
        <v>28</v>
      </c>
      <c r="E4" s="6" t="s">
        <v>15</v>
      </c>
      <c r="F4" s="7">
        <v>41983</v>
      </c>
      <c r="G4" s="7">
        <v>42487</v>
      </c>
      <c r="H4" s="8" t="s">
        <v>29</v>
      </c>
      <c r="I4" s="3" t="s">
        <v>17</v>
      </c>
      <c r="J4" s="3" t="s">
        <v>18</v>
      </c>
      <c r="K4" t="s">
        <v>19</v>
      </c>
      <c r="L4" s="6" t="s">
        <v>695</v>
      </c>
      <c r="M4" s="14" t="s">
        <v>1012</v>
      </c>
      <c r="N4" s="6" t="s">
        <v>657</v>
      </c>
      <c r="O4" s="6">
        <v>0</v>
      </c>
      <c r="P4" s="6" t="s">
        <v>698</v>
      </c>
      <c r="Q4" s="35">
        <v>1</v>
      </c>
      <c r="R4" s="35">
        <v>1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6" t="s">
        <v>717</v>
      </c>
      <c r="Y4" s="6">
        <v>1</v>
      </c>
      <c r="Z4" s="6">
        <v>0</v>
      </c>
      <c r="AA4" s="6">
        <v>0</v>
      </c>
      <c r="AB4" s="6">
        <v>1</v>
      </c>
      <c r="AC4" s="6">
        <v>0</v>
      </c>
      <c r="AD4" s="14" t="s">
        <v>21</v>
      </c>
      <c r="AE4" s="3" t="s">
        <v>31</v>
      </c>
      <c r="AF4" s="13" t="s">
        <v>649</v>
      </c>
      <c r="AG4" s="8" t="s">
        <v>1357</v>
      </c>
      <c r="AH4" s="11">
        <v>40985</v>
      </c>
      <c r="AI4" s="10">
        <v>622</v>
      </c>
      <c r="AJ4" s="12">
        <v>114.79</v>
      </c>
      <c r="AK4" s="12">
        <f t="shared" si="0"/>
        <v>18.454983922829584</v>
      </c>
      <c r="AL4" s="12" t="str">
        <f t="shared" si="1"/>
        <v>10% a 25%</v>
      </c>
      <c r="AM4" s="6" t="s">
        <v>616</v>
      </c>
      <c r="AN4" s="6" t="s">
        <v>616</v>
      </c>
      <c r="AO4" s="6" t="s">
        <v>699</v>
      </c>
      <c r="AP4" s="6">
        <v>0</v>
      </c>
      <c r="AQ4" s="6" t="s">
        <v>614</v>
      </c>
      <c r="AR4" s="6" t="s">
        <v>1399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31">
        <v>0</v>
      </c>
      <c r="AY4" s="31">
        <v>0</v>
      </c>
      <c r="AZ4" s="31">
        <v>0</v>
      </c>
      <c r="BA4" s="12">
        <f t="shared" si="2"/>
        <v>0</v>
      </c>
      <c r="BB4" s="31">
        <v>0</v>
      </c>
      <c r="BC4" s="31">
        <v>0</v>
      </c>
      <c r="BD4" s="31">
        <v>0</v>
      </c>
      <c r="BE4" s="31">
        <v>0</v>
      </c>
      <c r="BF4" s="12">
        <f t="shared" si="3"/>
        <v>0</v>
      </c>
      <c r="BG4" s="6">
        <v>0</v>
      </c>
      <c r="BH4" s="6">
        <v>0</v>
      </c>
      <c r="BI4" s="6">
        <v>0</v>
      </c>
      <c r="BJ4" s="6" t="s">
        <v>617</v>
      </c>
      <c r="BK4" s="6">
        <v>0</v>
      </c>
      <c r="BL4" s="6">
        <v>1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</row>
    <row r="5" spans="1:70" ht="48" customHeight="1" x14ac:dyDescent="0.3">
      <c r="A5" s="6">
        <v>328808</v>
      </c>
      <c r="B5" s="6" t="s">
        <v>24</v>
      </c>
      <c r="C5" s="15" t="s">
        <v>37</v>
      </c>
      <c r="D5" s="6" t="s">
        <v>14</v>
      </c>
      <c r="E5" s="6" t="s">
        <v>15</v>
      </c>
      <c r="F5" s="7">
        <v>42187</v>
      </c>
      <c r="G5" s="7">
        <v>42321</v>
      </c>
      <c r="H5" s="8" t="s">
        <v>38</v>
      </c>
      <c r="I5" s="3" t="s">
        <v>17</v>
      </c>
      <c r="J5" s="3" t="s">
        <v>18</v>
      </c>
      <c r="K5" t="s">
        <v>19</v>
      </c>
      <c r="L5" s="6" t="s">
        <v>696</v>
      </c>
      <c r="M5" s="14" t="s">
        <v>619</v>
      </c>
      <c r="N5" s="6" t="s">
        <v>657</v>
      </c>
      <c r="O5" s="6">
        <v>0</v>
      </c>
      <c r="P5" s="6" t="s">
        <v>702</v>
      </c>
      <c r="Q5" s="35">
        <v>1</v>
      </c>
      <c r="R5" s="35">
        <v>0</v>
      </c>
      <c r="S5" s="35">
        <v>1</v>
      </c>
      <c r="T5" s="35">
        <v>0</v>
      </c>
      <c r="U5" s="35">
        <v>0</v>
      </c>
      <c r="V5" s="35">
        <v>0</v>
      </c>
      <c r="W5" s="35">
        <v>0</v>
      </c>
      <c r="X5" s="6" t="s">
        <v>657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14" t="s">
        <v>21</v>
      </c>
      <c r="AE5" s="3" t="s">
        <v>39</v>
      </c>
      <c r="AF5" s="13" t="s">
        <v>23</v>
      </c>
      <c r="AG5" s="8" t="s">
        <v>1357</v>
      </c>
      <c r="AH5" s="11">
        <v>41433</v>
      </c>
      <c r="AI5" s="10">
        <v>678</v>
      </c>
      <c r="AJ5" s="12">
        <v>180</v>
      </c>
      <c r="AK5" s="12">
        <f t="shared" si="0"/>
        <v>26.548672566371685</v>
      </c>
      <c r="AL5" s="12" t="str">
        <f t="shared" si="1"/>
        <v>25% a 50%</v>
      </c>
      <c r="AM5" s="6" t="s">
        <v>845</v>
      </c>
      <c r="AN5" s="6" t="s">
        <v>655</v>
      </c>
      <c r="AO5" s="6" t="s">
        <v>699</v>
      </c>
      <c r="AP5" s="6">
        <v>0</v>
      </c>
      <c r="AQ5" s="6" t="s">
        <v>614</v>
      </c>
      <c r="AR5" s="6" t="s">
        <v>1399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31">
        <v>0</v>
      </c>
      <c r="AY5" s="31">
        <v>0</v>
      </c>
      <c r="AZ5" s="31">
        <v>0</v>
      </c>
      <c r="BA5" s="12">
        <f t="shared" si="2"/>
        <v>0</v>
      </c>
      <c r="BB5" s="31">
        <v>0</v>
      </c>
      <c r="BC5" s="31">
        <v>0</v>
      </c>
      <c r="BD5" s="31">
        <v>0</v>
      </c>
      <c r="BE5" s="31">
        <v>0</v>
      </c>
      <c r="BF5" s="12">
        <f t="shared" si="3"/>
        <v>0</v>
      </c>
      <c r="BG5" s="6">
        <v>0</v>
      </c>
      <c r="BH5" s="6">
        <v>0</v>
      </c>
      <c r="BI5" s="6">
        <v>0</v>
      </c>
      <c r="BJ5" s="6" t="s">
        <v>620</v>
      </c>
      <c r="BK5" s="6">
        <v>0</v>
      </c>
      <c r="BL5" s="6">
        <v>0</v>
      </c>
      <c r="BM5" s="6">
        <v>0</v>
      </c>
      <c r="BN5" s="6">
        <v>1</v>
      </c>
      <c r="BO5" s="6">
        <v>0</v>
      </c>
      <c r="BP5" s="6">
        <v>0</v>
      </c>
      <c r="BQ5" s="6">
        <v>0</v>
      </c>
      <c r="BR5" s="6">
        <v>0</v>
      </c>
    </row>
    <row r="6" spans="1:70" ht="52.2" customHeight="1" x14ac:dyDescent="0.3">
      <c r="A6" s="6">
        <v>311497</v>
      </c>
      <c r="B6" s="6" t="s">
        <v>24</v>
      </c>
      <c r="C6" s="15" t="s">
        <v>40</v>
      </c>
      <c r="D6" s="6" t="s">
        <v>41</v>
      </c>
      <c r="E6" s="6" t="s">
        <v>15</v>
      </c>
      <c r="F6" s="7">
        <v>41977</v>
      </c>
      <c r="G6" s="7">
        <v>42719</v>
      </c>
      <c r="H6" s="8" t="s">
        <v>42</v>
      </c>
      <c r="I6" s="3" t="s">
        <v>17</v>
      </c>
      <c r="J6" s="3" t="s">
        <v>18</v>
      </c>
      <c r="K6" t="s">
        <v>19</v>
      </c>
      <c r="L6" s="6" t="s">
        <v>696</v>
      </c>
      <c r="M6" s="14" t="s">
        <v>35</v>
      </c>
      <c r="N6" s="6" t="s">
        <v>657</v>
      </c>
      <c r="O6" s="6">
        <v>0</v>
      </c>
      <c r="P6" s="6" t="s">
        <v>702</v>
      </c>
      <c r="Q6" s="35">
        <v>1</v>
      </c>
      <c r="R6" s="35">
        <v>0</v>
      </c>
      <c r="S6" s="35">
        <v>1</v>
      </c>
      <c r="T6" s="35">
        <v>0</v>
      </c>
      <c r="U6" s="35">
        <v>0</v>
      </c>
      <c r="V6" s="35">
        <v>0</v>
      </c>
      <c r="W6" s="35">
        <v>0</v>
      </c>
      <c r="X6" s="6" t="s">
        <v>997</v>
      </c>
      <c r="Y6" s="6">
        <v>1</v>
      </c>
      <c r="Z6" s="6">
        <v>0</v>
      </c>
      <c r="AA6" s="6">
        <v>0</v>
      </c>
      <c r="AB6" s="6">
        <v>0</v>
      </c>
      <c r="AC6" s="6">
        <v>1</v>
      </c>
      <c r="AD6" s="14" t="s">
        <v>43</v>
      </c>
      <c r="AE6" s="3" t="s">
        <v>44</v>
      </c>
      <c r="AF6" s="13" t="s">
        <v>45</v>
      </c>
      <c r="AG6" s="8" t="s">
        <v>1357</v>
      </c>
      <c r="AH6" s="11">
        <v>41282</v>
      </c>
      <c r="AI6" s="10">
        <v>678</v>
      </c>
      <c r="AJ6" s="12">
        <v>100</v>
      </c>
      <c r="AK6" s="12">
        <f t="shared" si="0"/>
        <v>14.749262536873156</v>
      </c>
      <c r="AL6" s="12" t="str">
        <f t="shared" si="1"/>
        <v>10% a 25%</v>
      </c>
      <c r="AM6" s="6" t="s">
        <v>622</v>
      </c>
      <c r="AN6" s="6" t="s">
        <v>622</v>
      </c>
      <c r="AO6" s="6" t="s">
        <v>699</v>
      </c>
      <c r="AP6" s="6">
        <v>0</v>
      </c>
      <c r="AQ6" s="6" t="s">
        <v>621</v>
      </c>
      <c r="AR6" s="6" t="s">
        <v>1399</v>
      </c>
      <c r="AS6" s="6">
        <v>1</v>
      </c>
      <c r="AT6" s="6">
        <v>1</v>
      </c>
      <c r="AU6" s="6">
        <v>0</v>
      </c>
      <c r="AV6" s="6">
        <v>0</v>
      </c>
      <c r="AW6" s="6" t="s">
        <v>623</v>
      </c>
      <c r="AX6" s="31">
        <v>2</v>
      </c>
      <c r="AY6" s="31">
        <v>2</v>
      </c>
      <c r="AZ6" s="31">
        <v>20</v>
      </c>
      <c r="BA6" s="12">
        <f t="shared" si="2"/>
        <v>27</v>
      </c>
      <c r="BB6" s="31">
        <v>10</v>
      </c>
      <c r="BC6" s="31">
        <v>0</v>
      </c>
      <c r="BD6" s="31">
        <v>0</v>
      </c>
      <c r="BE6" s="31">
        <v>0</v>
      </c>
      <c r="BF6" s="12">
        <f t="shared" si="3"/>
        <v>0</v>
      </c>
      <c r="BG6" s="6" t="s">
        <v>615</v>
      </c>
      <c r="BH6" s="6" t="s">
        <v>1393</v>
      </c>
      <c r="BI6" s="6">
        <v>0</v>
      </c>
      <c r="BJ6" s="6" t="s">
        <v>609</v>
      </c>
      <c r="BK6" s="6">
        <v>0</v>
      </c>
      <c r="BL6" s="6">
        <v>1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</row>
    <row r="7" spans="1:70" ht="57.6" customHeight="1" x14ac:dyDescent="0.3">
      <c r="A7" s="6">
        <v>349555</v>
      </c>
      <c r="B7" s="6" t="s">
        <v>24</v>
      </c>
      <c r="C7" s="15" t="s">
        <v>49</v>
      </c>
      <c r="D7" s="6" t="s">
        <v>33</v>
      </c>
      <c r="E7" s="6" t="s">
        <v>15</v>
      </c>
      <c r="F7" s="7">
        <v>42418</v>
      </c>
      <c r="G7" s="7">
        <v>42598</v>
      </c>
      <c r="H7" s="8" t="s">
        <v>29</v>
      </c>
      <c r="I7" s="3" t="s">
        <v>48</v>
      </c>
      <c r="J7" s="3" t="s">
        <v>18</v>
      </c>
      <c r="K7" t="s">
        <v>19</v>
      </c>
      <c r="L7" s="6" t="s">
        <v>695</v>
      </c>
      <c r="M7" s="14" t="s">
        <v>35</v>
      </c>
      <c r="N7" s="6" t="s">
        <v>657</v>
      </c>
      <c r="O7" s="6">
        <v>0</v>
      </c>
      <c r="P7" s="6" t="s">
        <v>705</v>
      </c>
      <c r="Q7" s="35">
        <v>0</v>
      </c>
      <c r="R7" s="35">
        <v>0</v>
      </c>
      <c r="S7" s="35">
        <v>1</v>
      </c>
      <c r="T7" s="35">
        <v>1</v>
      </c>
      <c r="U7" s="35">
        <v>0</v>
      </c>
      <c r="V7" s="35">
        <v>0</v>
      </c>
      <c r="W7" s="35">
        <v>0</v>
      </c>
      <c r="X7" s="6" t="s">
        <v>1001</v>
      </c>
      <c r="Y7" s="6">
        <v>1</v>
      </c>
      <c r="Z7" s="6">
        <v>1</v>
      </c>
      <c r="AA7" s="6">
        <v>0</v>
      </c>
      <c r="AB7" s="6">
        <v>1</v>
      </c>
      <c r="AC7" s="6">
        <v>0</v>
      </c>
      <c r="AD7" s="14" t="s">
        <v>43</v>
      </c>
      <c r="AE7" s="3" t="s">
        <v>50</v>
      </c>
      <c r="AF7" s="13" t="s">
        <v>36</v>
      </c>
      <c r="AG7" s="8" t="s">
        <v>1357</v>
      </c>
      <c r="AH7" s="11">
        <v>41808</v>
      </c>
      <c r="AI7" s="10">
        <v>724</v>
      </c>
      <c r="AJ7" s="12">
        <v>59.04</v>
      </c>
      <c r="AK7" s="12">
        <f t="shared" si="0"/>
        <v>8.1546961325966851</v>
      </c>
      <c r="AL7" s="12" t="str">
        <f t="shared" si="1"/>
        <v>Até 10%</v>
      </c>
      <c r="AM7" s="6" t="s">
        <v>616</v>
      </c>
      <c r="AN7" s="6" t="s">
        <v>616</v>
      </c>
      <c r="AO7" s="6" t="s">
        <v>701</v>
      </c>
      <c r="AP7" s="6">
        <v>1</v>
      </c>
      <c r="AQ7" s="6" t="s">
        <v>625</v>
      </c>
      <c r="AR7" s="6" t="s">
        <v>1400</v>
      </c>
      <c r="AS7" s="6">
        <v>1</v>
      </c>
      <c r="AT7" s="6">
        <v>0</v>
      </c>
      <c r="AU7" s="6">
        <v>0</v>
      </c>
      <c r="AV7" s="6">
        <v>0</v>
      </c>
      <c r="AW7" s="6">
        <v>0</v>
      </c>
      <c r="AX7" s="31">
        <v>0</v>
      </c>
      <c r="AY7" s="31">
        <v>0</v>
      </c>
      <c r="AZ7" s="31">
        <v>0</v>
      </c>
      <c r="BA7" s="12">
        <f t="shared" si="2"/>
        <v>0</v>
      </c>
      <c r="BB7" s="31">
        <v>0</v>
      </c>
      <c r="BC7" s="31">
        <v>0</v>
      </c>
      <c r="BD7" s="31">
        <v>0</v>
      </c>
      <c r="BE7" s="31">
        <v>0</v>
      </c>
      <c r="BF7" s="12">
        <f t="shared" si="3"/>
        <v>0</v>
      </c>
      <c r="BG7" s="6">
        <v>0</v>
      </c>
      <c r="BH7" s="6">
        <v>0</v>
      </c>
      <c r="BI7" s="6">
        <v>0</v>
      </c>
      <c r="BJ7" s="6" t="s">
        <v>620</v>
      </c>
      <c r="BK7" s="6">
        <v>0</v>
      </c>
      <c r="BL7" s="6">
        <v>0</v>
      </c>
      <c r="BM7" s="6">
        <v>1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</row>
    <row r="8" spans="1:70" ht="61.8" customHeight="1" x14ac:dyDescent="0.3">
      <c r="A8" s="6">
        <v>554119</v>
      </c>
      <c r="B8" s="6" t="s">
        <v>46</v>
      </c>
      <c r="C8" s="15" t="s">
        <v>51</v>
      </c>
      <c r="D8" s="6" t="s">
        <v>41</v>
      </c>
      <c r="E8" s="6" t="s">
        <v>15</v>
      </c>
      <c r="F8" s="7">
        <v>41855</v>
      </c>
      <c r="G8" s="7">
        <v>41877</v>
      </c>
      <c r="H8" s="8" t="s">
        <v>52</v>
      </c>
      <c r="I8" s="3" t="s">
        <v>48</v>
      </c>
      <c r="J8" s="3" t="s">
        <v>18</v>
      </c>
      <c r="K8" t="s">
        <v>19</v>
      </c>
      <c r="L8" s="6" t="s">
        <v>695</v>
      </c>
      <c r="M8" s="14" t="s">
        <v>626</v>
      </c>
      <c r="N8" s="6" t="s">
        <v>657</v>
      </c>
      <c r="O8" s="6">
        <v>0</v>
      </c>
      <c r="P8" s="6" t="s">
        <v>698</v>
      </c>
      <c r="Q8" s="35">
        <v>1</v>
      </c>
      <c r="R8" s="35">
        <v>1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6" t="s">
        <v>1000</v>
      </c>
      <c r="Y8" s="6">
        <v>1</v>
      </c>
      <c r="Z8" s="6">
        <v>0</v>
      </c>
      <c r="AA8" s="6">
        <v>1</v>
      </c>
      <c r="AB8" s="6">
        <v>0</v>
      </c>
      <c r="AC8" s="6">
        <v>1</v>
      </c>
      <c r="AD8" s="14" t="s">
        <v>21</v>
      </c>
      <c r="AE8" s="3" t="s">
        <v>53</v>
      </c>
      <c r="AF8" s="13" t="s">
        <v>45</v>
      </c>
      <c r="AG8" s="8" t="s">
        <v>1357</v>
      </c>
      <c r="AH8" s="11">
        <v>39675</v>
      </c>
      <c r="AI8" s="10">
        <v>415</v>
      </c>
      <c r="AJ8" s="12">
        <v>566.6</v>
      </c>
      <c r="AK8" s="12">
        <f t="shared" si="0"/>
        <v>136.53012048192772</v>
      </c>
      <c r="AL8" s="12" t="str">
        <f>IF(AK8=0,"Não Informado",IF(AK8&lt;=10,"Até 10%",IF(AK8&lt;=25,"10% a 25%",IF(AK8&lt;=50,"25% a 50%","Acima de 50%"))))</f>
        <v>Acima de 50%</v>
      </c>
      <c r="AM8" s="6" t="s">
        <v>627</v>
      </c>
      <c r="AN8" s="6" t="s">
        <v>1452</v>
      </c>
      <c r="AO8" s="6" t="s">
        <v>699</v>
      </c>
      <c r="AP8" s="6">
        <v>0</v>
      </c>
      <c r="AQ8" s="6" t="s">
        <v>628</v>
      </c>
      <c r="AR8" s="6" t="s">
        <v>1400</v>
      </c>
      <c r="AS8" s="6">
        <v>1</v>
      </c>
      <c r="AT8" s="6">
        <v>0</v>
      </c>
      <c r="AU8" s="6">
        <v>0</v>
      </c>
      <c r="AV8" s="6">
        <v>0</v>
      </c>
      <c r="AW8" s="6" t="s">
        <v>629</v>
      </c>
      <c r="AX8" s="31">
        <v>2</v>
      </c>
      <c r="AY8" s="31">
        <v>6</v>
      </c>
      <c r="AZ8" s="31">
        <v>0</v>
      </c>
      <c r="BA8" s="12">
        <f t="shared" si="2"/>
        <v>30.333333333333332</v>
      </c>
      <c r="BB8" s="31">
        <v>30</v>
      </c>
      <c r="BC8" s="31">
        <v>0</v>
      </c>
      <c r="BD8" s="31">
        <v>0</v>
      </c>
      <c r="BE8" s="31">
        <v>0</v>
      </c>
      <c r="BF8" s="12">
        <f t="shared" si="3"/>
        <v>0</v>
      </c>
      <c r="BG8" s="6" t="s">
        <v>615</v>
      </c>
      <c r="BH8" s="6" t="s">
        <v>1393</v>
      </c>
      <c r="BI8" s="6">
        <v>0</v>
      </c>
      <c r="BJ8" s="6" t="s">
        <v>609</v>
      </c>
      <c r="BK8" s="6">
        <v>1</v>
      </c>
      <c r="BL8" s="6">
        <v>1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</row>
    <row r="9" spans="1:70" ht="52.8" customHeight="1" x14ac:dyDescent="0.3">
      <c r="A9" s="6">
        <v>595485</v>
      </c>
      <c r="B9" s="6" t="s">
        <v>46</v>
      </c>
      <c r="C9" s="15" t="s">
        <v>54</v>
      </c>
      <c r="D9" s="6" t="s">
        <v>55</v>
      </c>
      <c r="E9" s="6" t="s">
        <v>15</v>
      </c>
      <c r="F9" s="7">
        <v>41925</v>
      </c>
      <c r="G9" s="7">
        <v>41946</v>
      </c>
      <c r="H9" s="8" t="s">
        <v>52</v>
      </c>
      <c r="I9" s="3" t="s">
        <v>17</v>
      </c>
      <c r="J9" s="3" t="s">
        <v>18</v>
      </c>
      <c r="K9" t="s">
        <v>19</v>
      </c>
      <c r="L9" s="6" t="s">
        <v>695</v>
      </c>
      <c r="M9" s="14" t="s">
        <v>30</v>
      </c>
      <c r="N9" s="6" t="s">
        <v>703</v>
      </c>
      <c r="O9" s="6">
        <v>1</v>
      </c>
      <c r="P9" s="6" t="s">
        <v>978</v>
      </c>
      <c r="Q9" s="35">
        <v>1</v>
      </c>
      <c r="R9" s="35">
        <v>1</v>
      </c>
      <c r="S9" s="35">
        <v>0</v>
      </c>
      <c r="T9" s="35">
        <v>0</v>
      </c>
      <c r="U9" s="35">
        <v>0</v>
      </c>
      <c r="V9" s="35">
        <v>1</v>
      </c>
      <c r="W9" s="35">
        <v>0</v>
      </c>
      <c r="X9" s="6" t="s">
        <v>999</v>
      </c>
      <c r="Y9" s="6">
        <v>1</v>
      </c>
      <c r="Z9" s="6">
        <v>0</v>
      </c>
      <c r="AA9" s="6">
        <v>0</v>
      </c>
      <c r="AB9" s="6">
        <v>0</v>
      </c>
      <c r="AC9" s="6">
        <v>1</v>
      </c>
      <c r="AD9" s="14" t="s">
        <v>21</v>
      </c>
      <c r="AE9" s="3" t="s">
        <v>56</v>
      </c>
      <c r="AF9" s="13" t="s">
        <v>630</v>
      </c>
      <c r="AG9" s="8" t="s">
        <v>1348</v>
      </c>
      <c r="AH9" s="11">
        <v>41071</v>
      </c>
      <c r="AI9" s="10">
        <v>622</v>
      </c>
      <c r="AJ9" s="12">
        <v>59.94</v>
      </c>
      <c r="AK9" s="12">
        <f>IFERROR((AJ9/AI9)*100,"")</f>
        <v>9.6366559485530541</v>
      </c>
      <c r="AL9" s="12" t="str">
        <f t="shared" si="1"/>
        <v>Até 10%</v>
      </c>
      <c r="AM9" s="6" t="s">
        <v>631</v>
      </c>
      <c r="AN9" s="6" t="s">
        <v>1453</v>
      </c>
      <c r="AO9" s="6" t="s">
        <v>701</v>
      </c>
      <c r="AP9" s="6">
        <v>1</v>
      </c>
      <c r="AQ9" s="6" t="s">
        <v>614</v>
      </c>
      <c r="AR9" s="6" t="s">
        <v>1399</v>
      </c>
      <c r="AS9" s="6">
        <v>0</v>
      </c>
      <c r="AT9" s="6">
        <v>0</v>
      </c>
      <c r="AU9" s="6">
        <v>0</v>
      </c>
      <c r="AV9" s="6">
        <v>0</v>
      </c>
      <c r="AW9" s="6" t="s">
        <v>632</v>
      </c>
      <c r="AX9" s="31">
        <v>0</v>
      </c>
      <c r="AY9" s="31">
        <v>6</v>
      </c>
      <c r="AZ9" s="31">
        <v>0</v>
      </c>
      <c r="BA9" s="12">
        <f t="shared" si="2"/>
        <v>6</v>
      </c>
      <c r="BB9" s="31">
        <v>5</v>
      </c>
      <c r="BC9" s="31">
        <v>0</v>
      </c>
      <c r="BD9" s="31">
        <v>0</v>
      </c>
      <c r="BE9" s="31">
        <v>0</v>
      </c>
      <c r="BF9" s="12">
        <f t="shared" si="3"/>
        <v>0</v>
      </c>
      <c r="BG9" s="6" t="s">
        <v>637</v>
      </c>
      <c r="BH9" s="6" t="s">
        <v>1394</v>
      </c>
      <c r="BI9" s="6">
        <v>0</v>
      </c>
      <c r="BJ9" s="6" t="s">
        <v>609</v>
      </c>
      <c r="BK9" s="6">
        <v>1</v>
      </c>
      <c r="BL9" s="6">
        <v>1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</row>
    <row r="10" spans="1:70" ht="69.599999999999994" customHeight="1" x14ac:dyDescent="0.3">
      <c r="A10" s="6">
        <v>319002</v>
      </c>
      <c r="B10" s="6" t="s">
        <v>24</v>
      </c>
      <c r="C10" s="15" t="s">
        <v>58</v>
      </c>
      <c r="D10" s="6" t="s">
        <v>33</v>
      </c>
      <c r="E10" s="6" t="s">
        <v>15</v>
      </c>
      <c r="F10" s="7">
        <v>42081</v>
      </c>
      <c r="G10" s="7">
        <v>42241</v>
      </c>
      <c r="H10" s="8" t="s">
        <v>59</v>
      </c>
      <c r="I10" s="3" t="s">
        <v>48</v>
      </c>
      <c r="J10" s="3" t="s">
        <v>18</v>
      </c>
      <c r="K10" t="s">
        <v>19</v>
      </c>
      <c r="L10" s="6" t="s">
        <v>696</v>
      </c>
      <c r="M10" s="14" t="s">
        <v>35</v>
      </c>
      <c r="N10" s="6" t="s">
        <v>657</v>
      </c>
      <c r="O10" s="6">
        <v>0</v>
      </c>
      <c r="P10" s="6" t="s">
        <v>704</v>
      </c>
      <c r="Q10" s="35">
        <v>1</v>
      </c>
      <c r="R10" s="35">
        <v>1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  <c r="X10" s="6" t="s">
        <v>657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14" t="s">
        <v>43</v>
      </c>
      <c r="AE10" s="3" t="s">
        <v>60</v>
      </c>
      <c r="AF10" s="13" t="s">
        <v>36</v>
      </c>
      <c r="AG10" s="8" t="s">
        <v>1357</v>
      </c>
      <c r="AH10" s="11">
        <v>40865</v>
      </c>
      <c r="AI10" s="10">
        <v>545</v>
      </c>
      <c r="AJ10" s="12">
        <v>1200</v>
      </c>
      <c r="AK10" s="12">
        <f t="shared" si="0"/>
        <v>220.18348623853211</v>
      </c>
      <c r="AL10" s="12" t="str">
        <f t="shared" si="1"/>
        <v>Acima de 50%</v>
      </c>
      <c r="AM10" s="6" t="s">
        <v>633</v>
      </c>
      <c r="AN10" s="6" t="s">
        <v>1454</v>
      </c>
      <c r="AO10" s="6" t="s">
        <v>699</v>
      </c>
      <c r="AP10" s="6">
        <v>0</v>
      </c>
      <c r="AQ10" s="6" t="s">
        <v>634</v>
      </c>
      <c r="AR10" s="6" t="s">
        <v>1400</v>
      </c>
      <c r="AS10" s="6">
        <v>1</v>
      </c>
      <c r="AT10" s="6">
        <v>0</v>
      </c>
      <c r="AU10" s="6">
        <v>0</v>
      </c>
      <c r="AV10" s="6">
        <v>0</v>
      </c>
      <c r="AW10" s="6" t="s">
        <v>635</v>
      </c>
      <c r="AX10" s="31">
        <v>2</v>
      </c>
      <c r="AY10" s="31">
        <v>0</v>
      </c>
      <c r="AZ10" s="31">
        <v>0</v>
      </c>
      <c r="BA10" s="12">
        <f t="shared" si="2"/>
        <v>24.333333333333332</v>
      </c>
      <c r="BB10" s="31">
        <v>11</v>
      </c>
      <c r="BC10" s="31">
        <v>0</v>
      </c>
      <c r="BD10" s="31">
        <v>0</v>
      </c>
      <c r="BE10" s="31">
        <v>0</v>
      </c>
      <c r="BF10" s="12">
        <f t="shared" si="3"/>
        <v>0</v>
      </c>
      <c r="BG10" s="6" t="s">
        <v>636</v>
      </c>
      <c r="BH10" s="6" t="s">
        <v>1394</v>
      </c>
      <c r="BI10" s="6">
        <v>1</v>
      </c>
      <c r="BJ10" s="6" t="s">
        <v>609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</row>
    <row r="11" spans="1:70" ht="69" customHeight="1" x14ac:dyDescent="0.3">
      <c r="A11" s="6">
        <v>315114</v>
      </c>
      <c r="B11" s="6" t="s">
        <v>24</v>
      </c>
      <c r="C11" s="15" t="s">
        <v>61</v>
      </c>
      <c r="D11" s="6" t="s">
        <v>33</v>
      </c>
      <c r="E11" s="6" t="s">
        <v>15</v>
      </c>
      <c r="F11" s="7">
        <v>42034</v>
      </c>
      <c r="G11" s="7">
        <v>42075</v>
      </c>
      <c r="H11" s="8" t="s">
        <v>16</v>
      </c>
      <c r="I11" s="3" t="s">
        <v>17</v>
      </c>
      <c r="J11" s="3" t="s">
        <v>18</v>
      </c>
      <c r="K11" t="s">
        <v>19</v>
      </c>
      <c r="L11" s="6" t="s">
        <v>695</v>
      </c>
      <c r="M11" s="14" t="s">
        <v>619</v>
      </c>
      <c r="N11" s="6" t="s">
        <v>657</v>
      </c>
      <c r="O11" s="6">
        <v>0</v>
      </c>
      <c r="P11" s="6" t="s">
        <v>705</v>
      </c>
      <c r="Q11" s="35">
        <v>0</v>
      </c>
      <c r="R11" s="35">
        <v>0</v>
      </c>
      <c r="S11" s="35">
        <v>1</v>
      </c>
      <c r="T11" s="35">
        <v>1</v>
      </c>
      <c r="U11" s="35">
        <v>0</v>
      </c>
      <c r="V11" s="35">
        <v>0</v>
      </c>
      <c r="W11" s="35">
        <v>0</v>
      </c>
      <c r="X11" s="6" t="s">
        <v>998</v>
      </c>
      <c r="Y11" s="6">
        <v>1</v>
      </c>
      <c r="Z11" s="6">
        <v>0</v>
      </c>
      <c r="AA11" s="6">
        <v>0</v>
      </c>
      <c r="AB11" s="6">
        <v>1</v>
      </c>
      <c r="AC11" s="6">
        <v>0</v>
      </c>
      <c r="AD11" s="14" t="s">
        <v>21</v>
      </c>
      <c r="AE11" s="3" t="s">
        <v>62</v>
      </c>
      <c r="AF11" s="13" t="s">
        <v>36</v>
      </c>
      <c r="AG11" s="8" t="s">
        <v>1357</v>
      </c>
      <c r="AH11" s="11">
        <v>41273</v>
      </c>
      <c r="AI11" s="10">
        <v>622</v>
      </c>
      <c r="AJ11" s="12">
        <v>200</v>
      </c>
      <c r="AK11" s="12">
        <f t="shared" si="0"/>
        <v>32.154340836012864</v>
      </c>
      <c r="AL11" s="12" t="str">
        <f>IF(AK11=0,"Não Informado",IF(AK11&lt;=10,"Até 10%",IF(AK11&lt;=25,"10% a 25%",IF(AK11&lt;=50,"25% a 50%","Acima de 50%"))))</f>
        <v>25% a 50%</v>
      </c>
      <c r="AM11" s="6" t="s">
        <v>638</v>
      </c>
      <c r="AN11" s="6" t="s">
        <v>655</v>
      </c>
      <c r="AO11" s="6" t="s">
        <v>699</v>
      </c>
      <c r="AP11" s="6">
        <v>0</v>
      </c>
      <c r="AQ11" s="6" t="s">
        <v>1407</v>
      </c>
      <c r="AR11" s="6" t="s">
        <v>1399</v>
      </c>
      <c r="AS11" s="6">
        <v>1</v>
      </c>
      <c r="AT11" s="6">
        <v>1</v>
      </c>
      <c r="AU11" s="6">
        <v>0</v>
      </c>
      <c r="AV11" s="6">
        <v>2</v>
      </c>
      <c r="AW11" s="6">
        <v>0</v>
      </c>
      <c r="AX11" s="31">
        <v>0</v>
      </c>
      <c r="AY11" s="31">
        <v>0</v>
      </c>
      <c r="AZ11" s="31">
        <v>0</v>
      </c>
      <c r="BA11" s="12">
        <f t="shared" si="2"/>
        <v>0</v>
      </c>
      <c r="BB11" s="31">
        <v>0</v>
      </c>
      <c r="BC11" s="31">
        <v>0</v>
      </c>
      <c r="BD11" s="31">
        <v>0</v>
      </c>
      <c r="BE11" s="31">
        <v>0</v>
      </c>
      <c r="BF11" s="12">
        <f t="shared" si="3"/>
        <v>0</v>
      </c>
      <c r="BG11" s="6">
        <v>0</v>
      </c>
      <c r="BH11" s="6">
        <v>0</v>
      </c>
      <c r="BI11" s="6">
        <v>0</v>
      </c>
      <c r="BJ11" s="6" t="s">
        <v>620</v>
      </c>
      <c r="BK11" s="6">
        <v>0</v>
      </c>
      <c r="BL11" s="6">
        <v>1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</row>
    <row r="12" spans="1:70" ht="48.6" customHeight="1" x14ac:dyDescent="0.3">
      <c r="A12" s="6">
        <v>1525568</v>
      </c>
      <c r="B12" s="6" t="s">
        <v>26</v>
      </c>
      <c r="C12" s="25" t="s">
        <v>63</v>
      </c>
      <c r="D12" s="6" t="s">
        <v>64</v>
      </c>
      <c r="E12" s="6" t="s">
        <v>15</v>
      </c>
      <c r="F12" s="7">
        <v>42110</v>
      </c>
      <c r="G12" s="7">
        <v>42149</v>
      </c>
      <c r="H12" s="8" t="s">
        <v>16</v>
      </c>
      <c r="I12" s="3" t="s">
        <v>17</v>
      </c>
      <c r="J12" s="3" t="s">
        <v>18</v>
      </c>
      <c r="K12" t="s">
        <v>19</v>
      </c>
      <c r="L12" s="6" t="s">
        <v>695</v>
      </c>
      <c r="M12" s="14" t="s">
        <v>607</v>
      </c>
      <c r="N12" s="6" t="s">
        <v>657</v>
      </c>
      <c r="O12" s="6">
        <v>0</v>
      </c>
      <c r="P12" s="6" t="s">
        <v>706</v>
      </c>
      <c r="Q12" s="35">
        <v>1</v>
      </c>
      <c r="R12" s="35">
        <v>0</v>
      </c>
      <c r="S12" s="35">
        <v>1</v>
      </c>
      <c r="T12" s="35">
        <v>1</v>
      </c>
      <c r="U12" s="35">
        <v>0</v>
      </c>
      <c r="V12" s="35">
        <v>0</v>
      </c>
      <c r="W12" s="35">
        <v>0</v>
      </c>
      <c r="X12" s="6" t="s">
        <v>998</v>
      </c>
      <c r="Y12" s="6">
        <v>1</v>
      </c>
      <c r="Z12" s="6">
        <v>0</v>
      </c>
      <c r="AA12" s="6">
        <v>0</v>
      </c>
      <c r="AB12" s="6">
        <v>1</v>
      </c>
      <c r="AC12" s="6">
        <v>0</v>
      </c>
      <c r="AD12" s="14" t="s">
        <v>21</v>
      </c>
      <c r="AE12" s="3" t="s">
        <v>65</v>
      </c>
      <c r="AF12" s="13" t="s">
        <v>66</v>
      </c>
      <c r="AG12" s="8" t="s">
        <v>1357</v>
      </c>
      <c r="AH12" s="11">
        <v>38833</v>
      </c>
      <c r="AI12" s="10">
        <v>350</v>
      </c>
      <c r="AJ12" s="12">
        <v>275</v>
      </c>
      <c r="AK12" s="12">
        <f t="shared" si="0"/>
        <v>78.571428571428569</v>
      </c>
      <c r="AL12" s="12" t="str">
        <f t="shared" si="1"/>
        <v>Acima de 50%</v>
      </c>
      <c r="AM12" s="6" t="s">
        <v>640</v>
      </c>
      <c r="AN12" s="6" t="s">
        <v>655</v>
      </c>
      <c r="AO12" s="6" t="s">
        <v>699</v>
      </c>
      <c r="AP12" s="6">
        <v>0</v>
      </c>
      <c r="AQ12" s="6" t="s">
        <v>641</v>
      </c>
      <c r="AR12" s="6" t="s">
        <v>1399</v>
      </c>
      <c r="AS12" s="6">
        <v>1</v>
      </c>
      <c r="AT12" s="6">
        <v>0</v>
      </c>
      <c r="AU12" s="6">
        <v>1</v>
      </c>
      <c r="AV12" s="6">
        <v>0</v>
      </c>
      <c r="AW12" s="6" t="s">
        <v>642</v>
      </c>
      <c r="AX12" s="31">
        <v>0</v>
      </c>
      <c r="AY12" s="31">
        <v>9</v>
      </c>
      <c r="AZ12" s="31">
        <v>18</v>
      </c>
      <c r="BA12" s="12">
        <f t="shared" si="2"/>
        <v>9.6</v>
      </c>
      <c r="BB12" s="31">
        <v>10</v>
      </c>
      <c r="BC12" s="31">
        <v>0</v>
      </c>
      <c r="BD12" s="31">
        <v>0</v>
      </c>
      <c r="BE12" s="31">
        <v>0</v>
      </c>
      <c r="BF12" s="12">
        <f t="shared" si="3"/>
        <v>0</v>
      </c>
      <c r="BG12" s="6" t="s">
        <v>636</v>
      </c>
      <c r="BH12" s="6" t="s">
        <v>1394</v>
      </c>
      <c r="BI12" s="6">
        <v>1</v>
      </c>
      <c r="BJ12" s="6" t="s">
        <v>609</v>
      </c>
      <c r="BK12" s="6">
        <v>0</v>
      </c>
      <c r="BL12" s="6">
        <v>0</v>
      </c>
      <c r="BM12" s="6">
        <v>0</v>
      </c>
      <c r="BN12" s="6">
        <v>1</v>
      </c>
      <c r="BO12" s="6">
        <v>0</v>
      </c>
      <c r="BP12" s="6">
        <v>0</v>
      </c>
      <c r="BQ12" s="6">
        <v>0</v>
      </c>
      <c r="BR12" s="6">
        <v>0</v>
      </c>
    </row>
    <row r="13" spans="1:70" ht="60" customHeight="1" x14ac:dyDescent="0.3">
      <c r="A13" s="6">
        <v>574145</v>
      </c>
      <c r="B13" s="6" t="s">
        <v>46</v>
      </c>
      <c r="C13" s="15" t="s">
        <v>67</v>
      </c>
      <c r="D13" s="6" t="s">
        <v>55</v>
      </c>
      <c r="E13" s="6" t="s">
        <v>15</v>
      </c>
      <c r="F13" s="7">
        <v>41886</v>
      </c>
      <c r="G13" s="7">
        <v>42478</v>
      </c>
      <c r="H13" s="8" t="s">
        <v>42</v>
      </c>
      <c r="I13" s="3" t="s">
        <v>17</v>
      </c>
      <c r="J13" s="3" t="s">
        <v>18</v>
      </c>
      <c r="K13" t="s">
        <v>19</v>
      </c>
      <c r="L13" s="6" t="s">
        <v>696</v>
      </c>
      <c r="M13" s="14" t="s">
        <v>645</v>
      </c>
      <c r="N13" s="6" t="s">
        <v>657</v>
      </c>
      <c r="O13" s="6">
        <v>0</v>
      </c>
      <c r="P13" s="6" t="s">
        <v>707</v>
      </c>
      <c r="Q13" s="35">
        <v>0</v>
      </c>
      <c r="R13" s="35">
        <v>1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6" t="s">
        <v>657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14" t="s">
        <v>21</v>
      </c>
      <c r="AE13" s="13" t="s">
        <v>68</v>
      </c>
      <c r="AF13" s="13" t="s">
        <v>69</v>
      </c>
      <c r="AG13" s="8" t="s">
        <v>1357</v>
      </c>
      <c r="AH13" s="11">
        <v>41207</v>
      </c>
      <c r="AI13" s="10">
        <v>622</v>
      </c>
      <c r="AJ13" s="12">
        <v>30.38</v>
      </c>
      <c r="AK13" s="12">
        <f t="shared" si="0"/>
        <v>4.8842443729903531</v>
      </c>
      <c r="AL13" s="12" t="str">
        <f t="shared" si="1"/>
        <v>Até 10%</v>
      </c>
      <c r="AM13" s="6" t="s">
        <v>631</v>
      </c>
      <c r="AN13" s="6" t="s">
        <v>1453</v>
      </c>
      <c r="AO13" s="6" t="s">
        <v>699</v>
      </c>
      <c r="AP13" s="6">
        <v>0</v>
      </c>
      <c r="AQ13" s="6" t="s">
        <v>643</v>
      </c>
      <c r="AR13" s="6" t="s">
        <v>1401</v>
      </c>
      <c r="AS13" s="6">
        <v>1</v>
      </c>
      <c r="AT13" s="6">
        <v>0</v>
      </c>
      <c r="AU13" s="6">
        <v>0</v>
      </c>
      <c r="AV13" s="6">
        <v>0</v>
      </c>
      <c r="AW13" s="6" t="s">
        <v>644</v>
      </c>
      <c r="AX13" s="31">
        <v>0</v>
      </c>
      <c r="AY13" s="31">
        <v>0</v>
      </c>
      <c r="AZ13" s="31">
        <v>0</v>
      </c>
      <c r="BA13" s="12">
        <f t="shared" si="2"/>
        <v>0</v>
      </c>
      <c r="BB13" s="31">
        <v>10</v>
      </c>
      <c r="BC13" s="31">
        <v>0</v>
      </c>
      <c r="BD13" s="31">
        <v>0</v>
      </c>
      <c r="BE13" s="31">
        <v>0</v>
      </c>
      <c r="BF13" s="12">
        <f t="shared" si="3"/>
        <v>0</v>
      </c>
      <c r="BG13" s="6">
        <v>0</v>
      </c>
      <c r="BH13" s="6">
        <v>0</v>
      </c>
      <c r="BI13" s="6">
        <v>0</v>
      </c>
      <c r="BJ13" s="6" t="s">
        <v>609</v>
      </c>
      <c r="BK13" s="6">
        <v>0</v>
      </c>
      <c r="BL13" s="6">
        <v>0</v>
      </c>
      <c r="BM13" s="6">
        <v>0</v>
      </c>
      <c r="BN13" s="6">
        <v>1</v>
      </c>
      <c r="BO13" s="6">
        <v>0</v>
      </c>
      <c r="BP13" s="6">
        <v>0</v>
      </c>
      <c r="BQ13" s="6">
        <v>0</v>
      </c>
      <c r="BR13" s="6">
        <v>0</v>
      </c>
    </row>
    <row r="14" spans="1:70" ht="60" customHeight="1" x14ac:dyDescent="0.3">
      <c r="A14" s="6">
        <v>618213</v>
      </c>
      <c r="B14" s="6" t="s">
        <v>46</v>
      </c>
      <c r="C14" s="15" t="s">
        <v>70</v>
      </c>
      <c r="D14" s="6" t="s">
        <v>64</v>
      </c>
      <c r="E14" s="6" t="s">
        <v>15</v>
      </c>
      <c r="F14" s="7">
        <v>41964</v>
      </c>
      <c r="G14" s="7">
        <v>42044</v>
      </c>
      <c r="H14" s="8" t="s">
        <v>71</v>
      </c>
      <c r="I14" s="3" t="s">
        <v>48</v>
      </c>
      <c r="J14" s="3" t="s">
        <v>18</v>
      </c>
      <c r="K14" t="s">
        <v>19</v>
      </c>
      <c r="L14" s="6" t="s">
        <v>695</v>
      </c>
      <c r="M14" s="14" t="s">
        <v>645</v>
      </c>
      <c r="N14" s="6" t="s">
        <v>657</v>
      </c>
      <c r="O14" s="6">
        <v>0</v>
      </c>
      <c r="P14" s="6" t="s">
        <v>707</v>
      </c>
      <c r="Q14" s="35">
        <v>0</v>
      </c>
      <c r="R14" s="35">
        <v>1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6" t="s">
        <v>657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14" t="s">
        <v>21</v>
      </c>
      <c r="AE14" s="13" t="s">
        <v>72</v>
      </c>
      <c r="AF14" s="13" t="s">
        <v>66</v>
      </c>
      <c r="AG14" s="8" t="s">
        <v>1357</v>
      </c>
      <c r="AH14" s="11">
        <v>41300</v>
      </c>
      <c r="AI14" s="10">
        <v>678</v>
      </c>
      <c r="AJ14" s="12">
        <v>0</v>
      </c>
      <c r="AK14" s="12">
        <f>IFERROR((AJ14/AI14)*100,"")</f>
        <v>0</v>
      </c>
      <c r="AL14" s="12" t="str">
        <f t="shared" si="1"/>
        <v>Não Informado</v>
      </c>
      <c r="AM14" s="6" t="s">
        <v>646</v>
      </c>
      <c r="AN14" s="6" t="s">
        <v>655</v>
      </c>
      <c r="AO14" s="6" t="s">
        <v>699</v>
      </c>
      <c r="AP14" s="6">
        <v>0</v>
      </c>
      <c r="AQ14" s="6" t="s">
        <v>625</v>
      </c>
      <c r="AR14" s="6" t="s">
        <v>1400</v>
      </c>
      <c r="AS14" s="6">
        <v>1</v>
      </c>
      <c r="AT14" s="6">
        <v>0</v>
      </c>
      <c r="AU14" s="6">
        <v>0</v>
      </c>
      <c r="AV14" s="6">
        <v>0</v>
      </c>
      <c r="AW14" s="6" t="s">
        <v>647</v>
      </c>
      <c r="AX14" s="31">
        <v>2</v>
      </c>
      <c r="AY14" s="31">
        <v>9</v>
      </c>
      <c r="AZ14" s="31">
        <v>0</v>
      </c>
      <c r="BA14" s="12">
        <f t="shared" si="2"/>
        <v>33.333333333333336</v>
      </c>
      <c r="BB14" s="31">
        <v>13</v>
      </c>
      <c r="BC14" s="31">
        <v>0</v>
      </c>
      <c r="BD14" s="31">
        <v>0</v>
      </c>
      <c r="BE14" s="31">
        <v>0</v>
      </c>
      <c r="BF14" s="12">
        <f t="shared" si="3"/>
        <v>0</v>
      </c>
      <c r="BG14" s="6" t="s">
        <v>611</v>
      </c>
      <c r="BH14" s="6" t="s">
        <v>1392</v>
      </c>
      <c r="BI14" s="6">
        <v>0</v>
      </c>
      <c r="BJ14" s="6" t="s">
        <v>609</v>
      </c>
      <c r="BK14" s="6">
        <v>1</v>
      </c>
      <c r="BL14" s="6">
        <v>1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</row>
    <row r="15" spans="1:70" ht="60.6" customHeight="1" x14ac:dyDescent="0.3">
      <c r="A15" s="6">
        <v>1467140</v>
      </c>
      <c r="B15" s="6" t="s">
        <v>13</v>
      </c>
      <c r="C15" s="15" t="s">
        <v>1303</v>
      </c>
      <c r="D15" s="6" t="s">
        <v>64</v>
      </c>
      <c r="E15" s="6" t="s">
        <v>15</v>
      </c>
      <c r="F15" s="7">
        <v>41838</v>
      </c>
      <c r="G15" s="7">
        <v>42327</v>
      </c>
      <c r="H15" s="8" t="s">
        <v>71</v>
      </c>
      <c r="I15" s="3" t="s">
        <v>17</v>
      </c>
      <c r="J15" s="3" t="s">
        <v>18</v>
      </c>
      <c r="K15" t="s">
        <v>19</v>
      </c>
      <c r="L15" s="6" t="s">
        <v>695</v>
      </c>
      <c r="M15" s="14" t="s">
        <v>645</v>
      </c>
      <c r="N15" s="6" t="s">
        <v>703</v>
      </c>
      <c r="O15" s="6">
        <v>1</v>
      </c>
      <c r="P15" s="6" t="s">
        <v>1368</v>
      </c>
      <c r="Q15" s="35">
        <v>1</v>
      </c>
      <c r="R15" s="35">
        <v>0</v>
      </c>
      <c r="S15" s="35">
        <v>0</v>
      </c>
      <c r="T15" s="35">
        <v>0</v>
      </c>
      <c r="U15" s="35">
        <v>0</v>
      </c>
      <c r="V15" s="35">
        <v>1</v>
      </c>
      <c r="W15" s="35">
        <v>0</v>
      </c>
      <c r="X15" s="6" t="s">
        <v>997</v>
      </c>
      <c r="Y15" s="6">
        <v>1</v>
      </c>
      <c r="Z15" s="6">
        <v>0</v>
      </c>
      <c r="AA15" s="6">
        <v>0</v>
      </c>
      <c r="AB15" s="6">
        <v>0</v>
      </c>
      <c r="AC15" s="6">
        <v>1</v>
      </c>
      <c r="AD15" s="14" t="s">
        <v>43</v>
      </c>
      <c r="AE15" s="3" t="s">
        <v>73</v>
      </c>
      <c r="AF15" s="13" t="s">
        <v>648</v>
      </c>
      <c r="AG15" s="8" t="s">
        <v>1357</v>
      </c>
      <c r="AH15" s="11">
        <v>40214</v>
      </c>
      <c r="AI15" s="10">
        <v>510</v>
      </c>
      <c r="AJ15" s="12">
        <v>23.77</v>
      </c>
      <c r="AK15" s="12">
        <f t="shared" si="0"/>
        <v>4.6607843137254896</v>
      </c>
      <c r="AL15" s="12" t="str">
        <f t="shared" si="1"/>
        <v>Até 10%</v>
      </c>
      <c r="AM15" s="6" t="s">
        <v>631</v>
      </c>
      <c r="AN15" s="6" t="s">
        <v>1453</v>
      </c>
      <c r="AO15" s="6" t="s">
        <v>699</v>
      </c>
      <c r="AP15" s="6">
        <v>0</v>
      </c>
      <c r="AQ15" s="6" t="s">
        <v>614</v>
      </c>
      <c r="AR15" s="6" t="s">
        <v>1399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31">
        <v>0</v>
      </c>
      <c r="AY15" s="31">
        <v>0</v>
      </c>
      <c r="AZ15" s="31">
        <v>0</v>
      </c>
      <c r="BA15" s="12">
        <f t="shared" si="2"/>
        <v>0</v>
      </c>
      <c r="BB15" s="31">
        <v>0</v>
      </c>
      <c r="BC15" s="31">
        <v>0</v>
      </c>
      <c r="BD15" s="31">
        <v>0</v>
      </c>
      <c r="BE15" s="31">
        <v>0</v>
      </c>
      <c r="BF15" s="12">
        <f t="shared" si="3"/>
        <v>0</v>
      </c>
      <c r="BG15" s="6">
        <v>0</v>
      </c>
      <c r="BH15" s="6">
        <v>0</v>
      </c>
      <c r="BI15" s="6">
        <v>0</v>
      </c>
      <c r="BJ15" s="6" t="s">
        <v>617</v>
      </c>
      <c r="BK15" s="6">
        <v>1</v>
      </c>
      <c r="BL15" s="6">
        <v>1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</row>
    <row r="16" spans="1:70" ht="63.6" customHeight="1" x14ac:dyDescent="0.3">
      <c r="A16" s="6">
        <v>601256</v>
      </c>
      <c r="B16" s="6" t="s">
        <v>13</v>
      </c>
      <c r="C16" s="15" t="s">
        <v>653</v>
      </c>
      <c r="D16" s="6" t="s">
        <v>14</v>
      </c>
      <c r="E16" s="6" t="s">
        <v>15</v>
      </c>
      <c r="F16" s="7">
        <v>41934</v>
      </c>
      <c r="G16" s="7">
        <v>42220</v>
      </c>
      <c r="H16" s="8" t="s">
        <v>71</v>
      </c>
      <c r="I16" s="3" t="s">
        <v>48</v>
      </c>
      <c r="J16" s="3" t="s">
        <v>18</v>
      </c>
      <c r="K16" t="s">
        <v>19</v>
      </c>
      <c r="L16" s="6" t="s">
        <v>695</v>
      </c>
      <c r="M16" s="14" t="s">
        <v>650</v>
      </c>
      <c r="N16" s="6" t="s">
        <v>657</v>
      </c>
      <c r="O16" s="6">
        <v>0</v>
      </c>
      <c r="P16" s="6" t="s">
        <v>707</v>
      </c>
      <c r="Q16" s="35">
        <v>0</v>
      </c>
      <c r="R16" s="35">
        <v>1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6" t="s">
        <v>657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14" t="s">
        <v>43</v>
      </c>
      <c r="AE16" s="3" t="s">
        <v>74</v>
      </c>
      <c r="AF16" s="13" t="s">
        <v>75</v>
      </c>
      <c r="AG16" s="8" t="s">
        <v>1349</v>
      </c>
      <c r="AH16" s="11">
        <v>41359</v>
      </c>
      <c r="AI16" s="10">
        <v>678</v>
      </c>
      <c r="AJ16" s="12">
        <v>20</v>
      </c>
      <c r="AK16" s="12">
        <f t="shared" si="0"/>
        <v>2.9498525073746311</v>
      </c>
      <c r="AL16" s="12" t="str">
        <f t="shared" si="1"/>
        <v>Até 10%</v>
      </c>
      <c r="AM16" s="6" t="s">
        <v>651</v>
      </c>
      <c r="AN16" s="6" t="s">
        <v>1452</v>
      </c>
      <c r="AO16" s="6" t="s">
        <v>699</v>
      </c>
      <c r="AP16" s="6">
        <v>0</v>
      </c>
      <c r="AQ16" s="6" t="s">
        <v>625</v>
      </c>
      <c r="AR16" s="6" t="s">
        <v>1400</v>
      </c>
      <c r="AS16" s="6">
        <v>1</v>
      </c>
      <c r="AT16" s="6">
        <v>0</v>
      </c>
      <c r="AU16" s="6">
        <v>0</v>
      </c>
      <c r="AV16" s="6">
        <v>0</v>
      </c>
      <c r="AW16" s="6" t="s">
        <v>652</v>
      </c>
      <c r="AX16" s="31">
        <v>2</v>
      </c>
      <c r="AY16" s="31">
        <v>0</v>
      </c>
      <c r="AZ16" s="31">
        <v>0</v>
      </c>
      <c r="BA16" s="12">
        <f t="shared" si="2"/>
        <v>24.333333333333332</v>
      </c>
      <c r="BB16" s="31">
        <v>10</v>
      </c>
      <c r="BC16" s="31">
        <v>0</v>
      </c>
      <c r="BD16" s="31">
        <v>0</v>
      </c>
      <c r="BE16" s="31">
        <v>0</v>
      </c>
      <c r="BF16" s="12">
        <f t="shared" si="3"/>
        <v>0</v>
      </c>
      <c r="BG16" s="6" t="s">
        <v>611</v>
      </c>
      <c r="BH16" s="6" t="s">
        <v>1392</v>
      </c>
      <c r="BI16" s="6">
        <v>0</v>
      </c>
      <c r="BJ16" s="6" t="s">
        <v>609</v>
      </c>
      <c r="BK16" s="6">
        <v>0</v>
      </c>
      <c r="BL16" s="6">
        <v>1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</row>
    <row r="17" spans="1:70" ht="61.8" customHeight="1" x14ac:dyDescent="0.3">
      <c r="A17" s="6">
        <v>1491440</v>
      </c>
      <c r="B17" s="6" t="s">
        <v>26</v>
      </c>
      <c r="C17" s="15" t="s">
        <v>76</v>
      </c>
      <c r="D17" s="6" t="s">
        <v>64</v>
      </c>
      <c r="E17" s="6" t="s">
        <v>15</v>
      </c>
      <c r="F17" s="7">
        <v>41941</v>
      </c>
      <c r="G17" s="7">
        <v>42038</v>
      </c>
      <c r="H17" s="8" t="s">
        <v>77</v>
      </c>
      <c r="I17" s="3" t="s">
        <v>17</v>
      </c>
      <c r="J17" s="3" t="s">
        <v>18</v>
      </c>
      <c r="K17" t="s">
        <v>19</v>
      </c>
      <c r="L17" s="6" t="s">
        <v>696</v>
      </c>
      <c r="M17" s="14" t="s">
        <v>1014</v>
      </c>
      <c r="N17" s="6" t="s">
        <v>703</v>
      </c>
      <c r="O17" s="6">
        <v>1</v>
      </c>
      <c r="P17" s="6" t="s">
        <v>1369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1</v>
      </c>
      <c r="W17" s="35">
        <v>0</v>
      </c>
      <c r="X17" s="6" t="s">
        <v>860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14" t="s">
        <v>21</v>
      </c>
      <c r="AE17" s="13" t="s">
        <v>78</v>
      </c>
      <c r="AF17" s="13" t="s">
        <v>66</v>
      </c>
      <c r="AG17" s="8" t="s">
        <v>1357</v>
      </c>
      <c r="AH17" s="11">
        <v>40463</v>
      </c>
      <c r="AI17" s="10">
        <v>510</v>
      </c>
      <c r="AJ17" s="12">
        <v>0</v>
      </c>
      <c r="AK17" s="12">
        <f t="shared" si="0"/>
        <v>0</v>
      </c>
      <c r="AL17" s="12" t="str">
        <f t="shared" si="1"/>
        <v>Não Informado</v>
      </c>
      <c r="AM17" s="6" t="s">
        <v>654</v>
      </c>
      <c r="AN17" s="6" t="s">
        <v>1454</v>
      </c>
      <c r="AO17" s="6" t="s">
        <v>699</v>
      </c>
      <c r="AP17" s="6">
        <v>0</v>
      </c>
      <c r="AQ17" s="6" t="s">
        <v>614</v>
      </c>
      <c r="AR17" s="6" t="s">
        <v>1399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31">
        <v>0</v>
      </c>
      <c r="AY17" s="31">
        <v>0</v>
      </c>
      <c r="AZ17" s="31">
        <v>0</v>
      </c>
      <c r="BA17" s="12">
        <f t="shared" si="2"/>
        <v>0</v>
      </c>
      <c r="BB17" s="31">
        <v>0</v>
      </c>
      <c r="BC17" s="31">
        <v>0</v>
      </c>
      <c r="BD17" s="31">
        <v>0</v>
      </c>
      <c r="BE17" s="31">
        <v>0</v>
      </c>
      <c r="BF17" s="12">
        <f t="shared" si="3"/>
        <v>0</v>
      </c>
      <c r="BG17" s="6">
        <v>0</v>
      </c>
      <c r="BH17" s="6">
        <v>0</v>
      </c>
      <c r="BI17" s="6">
        <v>0</v>
      </c>
      <c r="BJ17" s="6" t="s">
        <v>620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</row>
    <row r="18" spans="1:70" ht="63" customHeight="1" x14ac:dyDescent="0.3">
      <c r="A18" s="6">
        <v>343943</v>
      </c>
      <c r="B18" s="6" t="s">
        <v>24</v>
      </c>
      <c r="C18" s="15" t="s">
        <v>80</v>
      </c>
      <c r="D18" s="6" t="s">
        <v>14</v>
      </c>
      <c r="E18" s="6" t="s">
        <v>15</v>
      </c>
      <c r="F18" s="7">
        <v>42340</v>
      </c>
      <c r="G18" s="7">
        <v>42451</v>
      </c>
      <c r="H18" s="8" t="s">
        <v>16</v>
      </c>
      <c r="I18" s="3" t="s">
        <v>17</v>
      </c>
      <c r="J18" s="3" t="s">
        <v>18</v>
      </c>
      <c r="K18" t="s">
        <v>19</v>
      </c>
      <c r="L18" s="6" t="s">
        <v>695</v>
      </c>
      <c r="M18" s="14" t="s">
        <v>607</v>
      </c>
      <c r="N18" s="6" t="s">
        <v>657</v>
      </c>
      <c r="O18" s="6">
        <v>0</v>
      </c>
      <c r="P18" s="6" t="s">
        <v>705</v>
      </c>
      <c r="Q18" s="35">
        <v>0</v>
      </c>
      <c r="R18" s="35">
        <v>0</v>
      </c>
      <c r="S18" s="35">
        <v>1</v>
      </c>
      <c r="T18" s="35">
        <v>1</v>
      </c>
      <c r="U18" s="35">
        <v>0</v>
      </c>
      <c r="V18" s="35">
        <v>0</v>
      </c>
      <c r="W18" s="35">
        <v>0</v>
      </c>
      <c r="X18" s="6" t="s">
        <v>996</v>
      </c>
      <c r="Y18" s="6">
        <v>1</v>
      </c>
      <c r="Z18" s="6">
        <v>1</v>
      </c>
      <c r="AA18" s="6">
        <v>0</v>
      </c>
      <c r="AB18" s="6">
        <v>0</v>
      </c>
      <c r="AC18" s="6">
        <v>0</v>
      </c>
      <c r="AD18" s="14" t="s">
        <v>21</v>
      </c>
      <c r="AE18" s="13" t="s">
        <v>81</v>
      </c>
      <c r="AF18" s="13" t="s">
        <v>23</v>
      </c>
      <c r="AG18" s="8" t="s">
        <v>1357</v>
      </c>
      <c r="AH18" s="11">
        <v>41068</v>
      </c>
      <c r="AI18" s="10">
        <v>622</v>
      </c>
      <c r="AJ18" s="12">
        <v>20</v>
      </c>
      <c r="AK18" s="12">
        <f t="shared" si="0"/>
        <v>3.215434083601286</v>
      </c>
      <c r="AL18" s="12" t="str">
        <f t="shared" si="1"/>
        <v>Até 10%</v>
      </c>
      <c r="AM18" s="6" t="s">
        <v>656</v>
      </c>
      <c r="AN18" s="6" t="s">
        <v>616</v>
      </c>
      <c r="AO18" s="6" t="s">
        <v>699</v>
      </c>
      <c r="AP18" s="6">
        <v>0</v>
      </c>
      <c r="AQ18" s="6" t="s">
        <v>639</v>
      </c>
      <c r="AR18" s="6" t="s">
        <v>1399</v>
      </c>
      <c r="AS18" s="6">
        <v>1</v>
      </c>
      <c r="AT18" s="6">
        <v>1</v>
      </c>
      <c r="AU18" s="6">
        <v>0</v>
      </c>
      <c r="AV18" s="6">
        <v>0</v>
      </c>
      <c r="AW18" s="6">
        <v>0</v>
      </c>
      <c r="AX18" s="31">
        <v>0</v>
      </c>
      <c r="AY18" s="31">
        <v>0</v>
      </c>
      <c r="AZ18" s="31">
        <v>0</v>
      </c>
      <c r="BA18" s="12">
        <f t="shared" si="2"/>
        <v>0</v>
      </c>
      <c r="BB18" s="31">
        <v>0</v>
      </c>
      <c r="BC18" s="31">
        <v>0</v>
      </c>
      <c r="BD18" s="31">
        <v>0</v>
      </c>
      <c r="BE18" s="31">
        <v>0</v>
      </c>
      <c r="BF18" s="12">
        <f t="shared" si="3"/>
        <v>0</v>
      </c>
      <c r="BG18" s="6">
        <v>0</v>
      </c>
      <c r="BH18" s="6">
        <v>0</v>
      </c>
      <c r="BI18" s="6">
        <v>0</v>
      </c>
      <c r="BJ18" s="6" t="s">
        <v>620</v>
      </c>
      <c r="BK18" s="6">
        <v>0</v>
      </c>
      <c r="BL18" s="6">
        <v>0</v>
      </c>
      <c r="BM18" s="6">
        <v>0</v>
      </c>
      <c r="BN18" s="6">
        <v>1</v>
      </c>
      <c r="BO18" s="6">
        <v>0</v>
      </c>
      <c r="BP18" s="6">
        <v>0</v>
      </c>
      <c r="BQ18" s="6">
        <v>0</v>
      </c>
      <c r="BR18" s="6">
        <v>0</v>
      </c>
    </row>
    <row r="19" spans="1:70" ht="52.2" customHeight="1" x14ac:dyDescent="0.3">
      <c r="A19" s="6">
        <v>693829</v>
      </c>
      <c r="B19" s="6" t="s">
        <v>46</v>
      </c>
      <c r="C19" s="15" t="s">
        <v>82</v>
      </c>
      <c r="D19" s="6" t="s">
        <v>14</v>
      </c>
      <c r="E19" s="6" t="s">
        <v>15</v>
      </c>
      <c r="F19" s="7">
        <v>42128</v>
      </c>
      <c r="G19" s="7">
        <v>42150</v>
      </c>
      <c r="H19" s="8" t="s">
        <v>38</v>
      </c>
      <c r="I19" s="3" t="s">
        <v>17</v>
      </c>
      <c r="J19" s="3" t="s">
        <v>18</v>
      </c>
      <c r="K19" t="s">
        <v>19</v>
      </c>
      <c r="L19" s="6" t="s">
        <v>696</v>
      </c>
      <c r="M19" s="14" t="s">
        <v>607</v>
      </c>
      <c r="N19" s="6" t="s">
        <v>657</v>
      </c>
      <c r="O19" s="6">
        <v>0</v>
      </c>
      <c r="P19" s="6" t="s">
        <v>709</v>
      </c>
      <c r="Q19" s="35">
        <v>0</v>
      </c>
      <c r="R19" s="35">
        <v>0</v>
      </c>
      <c r="S19" s="35">
        <v>1</v>
      </c>
      <c r="T19" s="35">
        <v>0</v>
      </c>
      <c r="U19" s="35">
        <v>0</v>
      </c>
      <c r="V19" s="35">
        <v>0</v>
      </c>
      <c r="W19" s="35">
        <v>0</v>
      </c>
      <c r="X19" s="6" t="s">
        <v>657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14" t="s">
        <v>21</v>
      </c>
      <c r="AE19" s="13" t="s">
        <v>83</v>
      </c>
      <c r="AF19" s="13" t="s">
        <v>23</v>
      </c>
      <c r="AG19" s="8" t="s">
        <v>1357</v>
      </c>
      <c r="AH19" s="11">
        <v>39582</v>
      </c>
      <c r="AI19" s="10">
        <v>415</v>
      </c>
      <c r="AJ19" s="12">
        <v>18</v>
      </c>
      <c r="AK19" s="12">
        <f t="shared" si="0"/>
        <v>4.3373493975903612</v>
      </c>
      <c r="AL19" s="12" t="str">
        <f t="shared" si="1"/>
        <v>Até 10%</v>
      </c>
      <c r="AM19" s="6" t="s">
        <v>655</v>
      </c>
      <c r="AN19" s="6" t="s">
        <v>655</v>
      </c>
      <c r="AO19" s="6" t="s">
        <v>699</v>
      </c>
      <c r="AP19" s="6">
        <v>0</v>
      </c>
      <c r="AQ19" s="6" t="s">
        <v>658</v>
      </c>
      <c r="AR19" s="6" t="s">
        <v>1399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31">
        <v>0</v>
      </c>
      <c r="AY19" s="31">
        <v>0</v>
      </c>
      <c r="AZ19" s="31">
        <v>0</v>
      </c>
      <c r="BA19" s="12">
        <f t="shared" si="2"/>
        <v>0</v>
      </c>
      <c r="BB19" s="31">
        <v>0</v>
      </c>
      <c r="BC19" s="31">
        <v>0</v>
      </c>
      <c r="BD19" s="31">
        <v>0</v>
      </c>
      <c r="BE19" s="31">
        <v>0</v>
      </c>
      <c r="BF19" s="12">
        <f t="shared" si="3"/>
        <v>0</v>
      </c>
      <c r="BG19" s="6">
        <v>0</v>
      </c>
      <c r="BH19" s="6">
        <v>0</v>
      </c>
      <c r="BI19" s="6">
        <v>0</v>
      </c>
      <c r="BJ19" s="6" t="s">
        <v>620</v>
      </c>
      <c r="BK19" s="6">
        <v>0</v>
      </c>
      <c r="BL19" s="6">
        <v>1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</row>
    <row r="20" spans="1:70" ht="54.6" customHeight="1" x14ac:dyDescent="0.3">
      <c r="A20" s="6">
        <v>568783</v>
      </c>
      <c r="B20" s="6" t="s">
        <v>13</v>
      </c>
      <c r="C20" s="15" t="s">
        <v>659</v>
      </c>
      <c r="D20" s="6" t="s">
        <v>55</v>
      </c>
      <c r="E20" s="6" t="s">
        <v>15</v>
      </c>
      <c r="F20" s="7">
        <v>41878</v>
      </c>
      <c r="G20" s="7">
        <v>41905</v>
      </c>
      <c r="H20" s="8" t="s">
        <v>52</v>
      </c>
      <c r="I20" s="3" t="s">
        <v>17</v>
      </c>
      <c r="J20" s="3" t="s">
        <v>18</v>
      </c>
      <c r="K20" t="s">
        <v>19</v>
      </c>
      <c r="L20" s="6" t="s">
        <v>695</v>
      </c>
      <c r="M20" s="14" t="s">
        <v>645</v>
      </c>
      <c r="N20" s="6" t="s">
        <v>657</v>
      </c>
      <c r="O20" s="6">
        <v>0</v>
      </c>
      <c r="P20" s="6" t="s">
        <v>710</v>
      </c>
      <c r="Q20" s="35">
        <v>1</v>
      </c>
      <c r="R20" s="35">
        <v>1</v>
      </c>
      <c r="S20" s="35">
        <v>0</v>
      </c>
      <c r="T20" s="35">
        <v>0</v>
      </c>
      <c r="U20" s="35">
        <v>1</v>
      </c>
      <c r="V20" s="35">
        <v>0</v>
      </c>
      <c r="W20" s="35">
        <v>0</v>
      </c>
      <c r="X20" s="6" t="s">
        <v>657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14" t="s">
        <v>43</v>
      </c>
      <c r="AE20" s="13" t="s">
        <v>84</v>
      </c>
      <c r="AF20" s="13" t="s">
        <v>660</v>
      </c>
      <c r="AG20" s="8" t="s">
        <v>1348</v>
      </c>
      <c r="AH20" s="11">
        <v>41280</v>
      </c>
      <c r="AI20" s="10">
        <v>678</v>
      </c>
      <c r="AJ20" s="12">
        <v>200</v>
      </c>
      <c r="AK20" s="12">
        <f t="shared" si="0"/>
        <v>29.498525073746311</v>
      </c>
      <c r="AL20" s="12" t="str">
        <f t="shared" si="1"/>
        <v>25% a 50%</v>
      </c>
      <c r="AM20" s="6" t="s">
        <v>618</v>
      </c>
      <c r="AN20" s="6" t="s">
        <v>618</v>
      </c>
      <c r="AO20" s="6" t="s">
        <v>699</v>
      </c>
      <c r="AP20" s="6">
        <v>0</v>
      </c>
      <c r="AQ20" s="6" t="s">
        <v>1406</v>
      </c>
      <c r="AR20" s="6" t="s">
        <v>1399</v>
      </c>
      <c r="AS20" s="6">
        <v>0</v>
      </c>
      <c r="AT20" s="6">
        <v>0</v>
      </c>
      <c r="AU20" s="6">
        <v>0</v>
      </c>
      <c r="AV20" s="6">
        <v>2</v>
      </c>
      <c r="AW20" s="6" t="s">
        <v>661</v>
      </c>
      <c r="AX20" s="31">
        <v>1</v>
      </c>
      <c r="AY20" s="31">
        <v>0</v>
      </c>
      <c r="AZ20" s="31">
        <v>20</v>
      </c>
      <c r="BA20" s="12">
        <f t="shared" si="2"/>
        <v>12.833333333333334</v>
      </c>
      <c r="BB20" s="31">
        <v>13</v>
      </c>
      <c r="BC20" s="31">
        <v>0</v>
      </c>
      <c r="BD20" s="31">
        <v>7</v>
      </c>
      <c r="BE20" s="31">
        <v>0</v>
      </c>
      <c r="BF20" s="12">
        <f t="shared" si="3"/>
        <v>7</v>
      </c>
      <c r="BG20" s="6" t="s">
        <v>615</v>
      </c>
      <c r="BH20" s="6" t="s">
        <v>1393</v>
      </c>
      <c r="BI20" s="6">
        <v>0</v>
      </c>
      <c r="BJ20" s="6" t="s">
        <v>609</v>
      </c>
      <c r="BK20" s="6">
        <v>1</v>
      </c>
      <c r="BL20" s="6">
        <v>1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</row>
    <row r="21" spans="1:70" ht="50.4" customHeight="1" x14ac:dyDescent="0.3">
      <c r="A21" s="6">
        <v>311641</v>
      </c>
      <c r="B21" s="6" t="s">
        <v>24</v>
      </c>
      <c r="C21" s="15" t="s">
        <v>85</v>
      </c>
      <c r="D21" s="6" t="s">
        <v>28</v>
      </c>
      <c r="E21" s="6" t="s">
        <v>15</v>
      </c>
      <c r="F21" s="7">
        <v>41982</v>
      </c>
      <c r="G21" s="7">
        <v>42509</v>
      </c>
      <c r="H21" s="8" t="s">
        <v>42</v>
      </c>
      <c r="I21" s="3" t="s">
        <v>17</v>
      </c>
      <c r="J21" s="3" t="s">
        <v>18</v>
      </c>
      <c r="K21" t="s">
        <v>19</v>
      </c>
      <c r="L21" s="6" t="s">
        <v>696</v>
      </c>
      <c r="M21" s="14" t="s">
        <v>35</v>
      </c>
      <c r="N21" s="6" t="s">
        <v>657</v>
      </c>
      <c r="O21" s="6">
        <v>0</v>
      </c>
      <c r="P21" s="6" t="s">
        <v>709</v>
      </c>
      <c r="Q21" s="35">
        <v>0</v>
      </c>
      <c r="R21" s="35">
        <v>0</v>
      </c>
      <c r="S21" s="35">
        <v>1</v>
      </c>
      <c r="T21" s="35">
        <v>0</v>
      </c>
      <c r="U21" s="35">
        <v>0</v>
      </c>
      <c r="V21" s="35">
        <v>0</v>
      </c>
      <c r="W21" s="35">
        <v>0</v>
      </c>
      <c r="X21" s="6" t="s">
        <v>711</v>
      </c>
      <c r="Y21" s="6">
        <v>1</v>
      </c>
      <c r="Z21" s="6">
        <v>1</v>
      </c>
      <c r="AA21" s="6">
        <v>1</v>
      </c>
      <c r="AB21" s="6">
        <v>0</v>
      </c>
      <c r="AC21" s="6">
        <v>0</v>
      </c>
      <c r="AD21" s="14" t="s">
        <v>43</v>
      </c>
      <c r="AE21" s="13" t="s">
        <v>86</v>
      </c>
      <c r="AF21" s="13" t="s">
        <v>662</v>
      </c>
      <c r="AG21" s="8" t="s">
        <v>1357</v>
      </c>
      <c r="AH21" s="11">
        <v>41279</v>
      </c>
      <c r="AI21" s="10">
        <v>678</v>
      </c>
      <c r="AJ21" s="12">
        <v>35</v>
      </c>
      <c r="AK21" s="12">
        <f t="shared" si="0"/>
        <v>5.1622418879056049</v>
      </c>
      <c r="AL21" s="12" t="str">
        <f t="shared" si="1"/>
        <v>Até 10%</v>
      </c>
      <c r="AM21" s="6" t="s">
        <v>663</v>
      </c>
      <c r="AN21" s="6" t="s">
        <v>616</v>
      </c>
      <c r="AO21" s="6" t="s">
        <v>699</v>
      </c>
      <c r="AP21" s="6">
        <v>0</v>
      </c>
      <c r="AQ21" s="6" t="s">
        <v>643</v>
      </c>
      <c r="AR21" s="6" t="s">
        <v>1401</v>
      </c>
      <c r="AS21" s="6">
        <v>1</v>
      </c>
      <c r="AT21" s="6">
        <v>0</v>
      </c>
      <c r="AU21" s="6">
        <v>0</v>
      </c>
      <c r="AV21" s="6">
        <v>0</v>
      </c>
      <c r="AW21" s="6" t="s">
        <v>664</v>
      </c>
      <c r="AX21" s="31">
        <v>0</v>
      </c>
      <c r="AY21" s="31">
        <v>8</v>
      </c>
      <c r="AZ21" s="31">
        <v>0</v>
      </c>
      <c r="BA21" s="12">
        <f t="shared" si="2"/>
        <v>8</v>
      </c>
      <c r="BB21" s="31">
        <v>6</v>
      </c>
      <c r="BC21" s="31">
        <v>0</v>
      </c>
      <c r="BD21" s="31">
        <v>0</v>
      </c>
      <c r="BE21" s="31">
        <v>0</v>
      </c>
      <c r="BF21" s="12">
        <f t="shared" si="3"/>
        <v>0</v>
      </c>
      <c r="BG21" s="6" t="s">
        <v>636</v>
      </c>
      <c r="BH21" s="6" t="s">
        <v>1394</v>
      </c>
      <c r="BI21" s="6">
        <v>1</v>
      </c>
      <c r="BJ21" s="6" t="s">
        <v>609</v>
      </c>
      <c r="BK21" s="6">
        <v>0</v>
      </c>
      <c r="BL21" s="6">
        <v>0</v>
      </c>
      <c r="BM21" s="6">
        <v>0</v>
      </c>
      <c r="BN21" s="6">
        <v>1</v>
      </c>
      <c r="BO21" s="6">
        <v>0</v>
      </c>
      <c r="BP21" s="6">
        <v>0</v>
      </c>
      <c r="BQ21" s="6">
        <v>0</v>
      </c>
      <c r="BR21" s="6">
        <v>0</v>
      </c>
    </row>
    <row r="22" spans="1:70" ht="58.2" customHeight="1" x14ac:dyDescent="0.3">
      <c r="A22" s="6">
        <v>310438</v>
      </c>
      <c r="B22" s="6" t="s">
        <v>24</v>
      </c>
      <c r="C22" s="15" t="s">
        <v>88</v>
      </c>
      <c r="D22" s="6" t="s">
        <v>33</v>
      </c>
      <c r="E22" s="6" t="s">
        <v>15</v>
      </c>
      <c r="F22" s="7">
        <v>41967</v>
      </c>
      <c r="G22" s="7">
        <v>42142</v>
      </c>
      <c r="H22" s="8" t="s">
        <v>59</v>
      </c>
      <c r="I22" s="3" t="s">
        <v>48</v>
      </c>
      <c r="J22" s="3" t="s">
        <v>18</v>
      </c>
      <c r="K22" t="s">
        <v>19</v>
      </c>
      <c r="L22" s="6" t="s">
        <v>696</v>
      </c>
      <c r="M22" s="14" t="s">
        <v>35</v>
      </c>
      <c r="N22" s="6" t="s">
        <v>657</v>
      </c>
      <c r="O22" s="6">
        <v>0</v>
      </c>
      <c r="P22" s="6" t="s">
        <v>712</v>
      </c>
      <c r="Q22" s="35">
        <v>0</v>
      </c>
      <c r="R22" s="35">
        <v>0</v>
      </c>
      <c r="S22" s="35">
        <v>1</v>
      </c>
      <c r="T22" s="35">
        <v>1</v>
      </c>
      <c r="U22" s="35">
        <v>0</v>
      </c>
      <c r="V22" s="35">
        <v>0</v>
      </c>
      <c r="W22" s="35">
        <v>0</v>
      </c>
      <c r="X22" s="6" t="s">
        <v>657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14" t="s">
        <v>21</v>
      </c>
      <c r="AE22" s="13" t="s">
        <v>89</v>
      </c>
      <c r="AF22" s="13" t="s">
        <v>36</v>
      </c>
      <c r="AG22" s="8" t="s">
        <v>1357</v>
      </c>
      <c r="AH22" s="11">
        <v>41529</v>
      </c>
      <c r="AI22" s="10">
        <v>678</v>
      </c>
      <c r="AJ22" s="12">
        <v>7.46</v>
      </c>
      <c r="AK22" s="12">
        <f t="shared" si="0"/>
        <v>1.1002949852507375</v>
      </c>
      <c r="AL22" s="12" t="str">
        <f t="shared" si="1"/>
        <v>Até 10%</v>
      </c>
      <c r="AM22" s="6" t="s">
        <v>624</v>
      </c>
      <c r="AN22" s="6" t="s">
        <v>1452</v>
      </c>
      <c r="AO22" s="6" t="s">
        <v>699</v>
      </c>
      <c r="AP22" s="6">
        <v>0</v>
      </c>
      <c r="AQ22" s="6" t="s">
        <v>669</v>
      </c>
      <c r="AR22" s="6" t="s">
        <v>1400</v>
      </c>
      <c r="AS22" s="6">
        <v>0</v>
      </c>
      <c r="AT22" s="6">
        <v>0</v>
      </c>
      <c r="AU22" s="6">
        <v>0</v>
      </c>
      <c r="AV22" s="6">
        <v>0</v>
      </c>
      <c r="AW22" s="6" t="s">
        <v>668</v>
      </c>
      <c r="AX22" s="31">
        <v>0</v>
      </c>
      <c r="AY22" s="31">
        <v>7</v>
      </c>
      <c r="AZ22" s="31">
        <v>0</v>
      </c>
      <c r="BA22" s="12">
        <f t="shared" si="2"/>
        <v>7</v>
      </c>
      <c r="BB22" s="31">
        <v>5</v>
      </c>
      <c r="BC22" s="31">
        <v>0</v>
      </c>
      <c r="BD22" s="31">
        <v>0</v>
      </c>
      <c r="BE22" s="31">
        <v>0</v>
      </c>
      <c r="BF22" s="12">
        <f t="shared" si="3"/>
        <v>0</v>
      </c>
      <c r="BG22" s="6" t="s">
        <v>611</v>
      </c>
      <c r="BH22" s="6" t="s">
        <v>1392</v>
      </c>
      <c r="BI22" s="6">
        <v>0</v>
      </c>
      <c r="BJ22" s="6" t="s">
        <v>609</v>
      </c>
      <c r="BK22" s="6">
        <v>1</v>
      </c>
      <c r="BL22" s="6">
        <v>1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</row>
    <row r="23" spans="1:70" ht="54.6" customHeight="1" x14ac:dyDescent="0.3">
      <c r="A23" s="6">
        <v>587878</v>
      </c>
      <c r="B23" s="6" t="s">
        <v>46</v>
      </c>
      <c r="C23" s="15" t="s">
        <v>90</v>
      </c>
      <c r="D23" s="6" t="s">
        <v>47</v>
      </c>
      <c r="E23" s="6" t="s">
        <v>15</v>
      </c>
      <c r="F23" s="7">
        <v>41911</v>
      </c>
      <c r="G23" s="7">
        <v>41971</v>
      </c>
      <c r="H23" s="8" t="s">
        <v>16</v>
      </c>
      <c r="I23" s="3" t="s">
        <v>48</v>
      </c>
      <c r="J23" s="3" t="s">
        <v>18</v>
      </c>
      <c r="K23" t="s">
        <v>19</v>
      </c>
      <c r="L23" s="6" t="s">
        <v>695</v>
      </c>
      <c r="M23" s="14" t="s">
        <v>607</v>
      </c>
      <c r="N23" s="6" t="s">
        <v>657</v>
      </c>
      <c r="O23" s="6">
        <v>0</v>
      </c>
      <c r="P23" s="6" t="s">
        <v>715</v>
      </c>
      <c r="Q23" s="35">
        <v>1</v>
      </c>
      <c r="R23" s="35">
        <v>0</v>
      </c>
      <c r="S23" s="35">
        <v>1</v>
      </c>
      <c r="T23" s="35">
        <v>1</v>
      </c>
      <c r="U23" s="35">
        <v>0</v>
      </c>
      <c r="V23" s="35">
        <v>0</v>
      </c>
      <c r="W23" s="35">
        <v>0</v>
      </c>
      <c r="X23" s="6" t="s">
        <v>717</v>
      </c>
      <c r="Y23" s="6">
        <v>1</v>
      </c>
      <c r="Z23" s="6">
        <v>0</v>
      </c>
      <c r="AA23" s="6">
        <v>0</v>
      </c>
      <c r="AB23" s="6">
        <v>1</v>
      </c>
      <c r="AC23" s="6">
        <v>0</v>
      </c>
      <c r="AD23" s="14" t="s">
        <v>21</v>
      </c>
      <c r="AE23" s="13" t="s">
        <v>91</v>
      </c>
      <c r="AF23" s="13" t="s">
        <v>92</v>
      </c>
      <c r="AG23" s="8" t="s">
        <v>1357</v>
      </c>
      <c r="AH23" s="11">
        <v>40278</v>
      </c>
      <c r="AI23" s="10">
        <v>510</v>
      </c>
      <c r="AJ23" s="12">
        <v>95</v>
      </c>
      <c r="AK23" s="12">
        <f t="shared" si="0"/>
        <v>18.627450980392158</v>
      </c>
      <c r="AL23" s="12" t="str">
        <f t="shared" si="1"/>
        <v>10% a 25%</v>
      </c>
      <c r="AM23" s="6" t="s">
        <v>670</v>
      </c>
      <c r="AN23" s="6" t="s">
        <v>1454</v>
      </c>
      <c r="AO23" s="6" t="s">
        <v>701</v>
      </c>
      <c r="AP23" s="6">
        <v>1</v>
      </c>
      <c r="AQ23" s="6" t="s">
        <v>671</v>
      </c>
      <c r="AR23" s="6" t="s">
        <v>1402</v>
      </c>
      <c r="AS23" s="6">
        <v>1</v>
      </c>
      <c r="AT23" s="6">
        <v>0</v>
      </c>
      <c r="AU23" s="6">
        <v>0</v>
      </c>
      <c r="AV23" s="6">
        <v>0</v>
      </c>
      <c r="AW23" s="6" t="s">
        <v>664</v>
      </c>
      <c r="AX23" s="31">
        <v>0</v>
      </c>
      <c r="AY23" s="31">
        <v>8</v>
      </c>
      <c r="AZ23" s="31">
        <v>0</v>
      </c>
      <c r="BA23" s="12">
        <f t="shared" si="2"/>
        <v>8</v>
      </c>
      <c r="BB23" s="31">
        <v>6</v>
      </c>
      <c r="BC23" s="31">
        <v>0</v>
      </c>
      <c r="BD23" s="31">
        <v>0</v>
      </c>
      <c r="BE23" s="31">
        <v>0</v>
      </c>
      <c r="BF23" s="12">
        <f t="shared" si="3"/>
        <v>0</v>
      </c>
      <c r="BG23" s="6" t="s">
        <v>636</v>
      </c>
      <c r="BH23" s="6" t="s">
        <v>1394</v>
      </c>
      <c r="BI23" s="6">
        <v>1</v>
      </c>
      <c r="BJ23" s="6" t="s">
        <v>609</v>
      </c>
      <c r="BK23" s="6">
        <v>0</v>
      </c>
      <c r="BL23" s="6">
        <v>0</v>
      </c>
      <c r="BM23" s="6">
        <v>0</v>
      </c>
      <c r="BN23" s="6">
        <v>1</v>
      </c>
      <c r="BO23" s="6">
        <v>0</v>
      </c>
      <c r="BP23" s="6">
        <v>0</v>
      </c>
      <c r="BQ23" s="6">
        <v>0</v>
      </c>
      <c r="BR23" s="6">
        <v>0</v>
      </c>
    </row>
    <row r="24" spans="1:70" ht="51.6" customHeight="1" x14ac:dyDescent="0.3">
      <c r="A24" s="6">
        <v>685483</v>
      </c>
      <c r="B24" s="6" t="s">
        <v>13</v>
      </c>
      <c r="C24" s="15" t="s">
        <v>672</v>
      </c>
      <c r="D24" s="6" t="s">
        <v>64</v>
      </c>
      <c r="E24" s="6" t="s">
        <v>15</v>
      </c>
      <c r="F24" s="7">
        <v>42109</v>
      </c>
      <c r="G24" s="7">
        <v>42537</v>
      </c>
      <c r="H24" s="8" t="s">
        <v>38</v>
      </c>
      <c r="I24" s="3" t="s">
        <v>17</v>
      </c>
      <c r="J24" s="3" t="s">
        <v>18</v>
      </c>
      <c r="K24" t="s">
        <v>19</v>
      </c>
      <c r="L24" s="6" t="s">
        <v>696</v>
      </c>
      <c r="M24" s="14" t="s">
        <v>645</v>
      </c>
      <c r="N24" s="6" t="s">
        <v>657</v>
      </c>
      <c r="O24" s="6">
        <v>0</v>
      </c>
      <c r="P24" s="6" t="s">
        <v>714</v>
      </c>
      <c r="Q24" s="35">
        <v>1</v>
      </c>
      <c r="R24" s="35">
        <v>0</v>
      </c>
      <c r="S24" s="35">
        <v>0</v>
      </c>
      <c r="T24" s="35">
        <v>1</v>
      </c>
      <c r="U24" s="35">
        <v>0</v>
      </c>
      <c r="V24" s="35">
        <v>0</v>
      </c>
      <c r="W24" s="35">
        <v>0</v>
      </c>
      <c r="X24" s="6" t="s">
        <v>657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14" t="s">
        <v>43</v>
      </c>
      <c r="AE24" s="13" t="s">
        <v>93</v>
      </c>
      <c r="AF24" s="13" t="s">
        <v>194</v>
      </c>
      <c r="AG24" s="8" t="s">
        <v>194</v>
      </c>
      <c r="AH24" s="11">
        <v>40994</v>
      </c>
      <c r="AI24" s="10">
        <v>622</v>
      </c>
      <c r="AJ24" s="12">
        <v>95</v>
      </c>
      <c r="AK24" s="12">
        <f t="shared" si="0"/>
        <v>15.27331189710611</v>
      </c>
      <c r="AL24" s="12" t="str">
        <f t="shared" si="1"/>
        <v>10% a 25%</v>
      </c>
      <c r="AM24" s="6" t="s">
        <v>673</v>
      </c>
      <c r="AN24" s="6" t="s">
        <v>1454</v>
      </c>
      <c r="AO24" s="6" t="s">
        <v>699</v>
      </c>
      <c r="AP24" s="6">
        <v>0</v>
      </c>
      <c r="AQ24" s="6" t="s">
        <v>1408</v>
      </c>
      <c r="AR24" s="6" t="s">
        <v>1399</v>
      </c>
      <c r="AS24" s="6">
        <v>1</v>
      </c>
      <c r="AT24" s="6">
        <v>0</v>
      </c>
      <c r="AU24" s="6">
        <v>0</v>
      </c>
      <c r="AV24" s="6">
        <v>2</v>
      </c>
      <c r="AW24" s="6">
        <v>0</v>
      </c>
      <c r="AX24" s="31">
        <v>0</v>
      </c>
      <c r="AY24" s="31">
        <v>0</v>
      </c>
      <c r="AZ24" s="31">
        <v>0</v>
      </c>
      <c r="BA24" s="12">
        <f t="shared" si="2"/>
        <v>0</v>
      </c>
      <c r="BB24" s="31">
        <v>0</v>
      </c>
      <c r="BC24" s="31">
        <v>0</v>
      </c>
      <c r="BD24" s="31">
        <v>0</v>
      </c>
      <c r="BE24" s="31">
        <v>0</v>
      </c>
      <c r="BF24" s="12">
        <f t="shared" si="3"/>
        <v>0</v>
      </c>
      <c r="BG24" s="6">
        <v>0</v>
      </c>
      <c r="BH24" s="6">
        <v>0</v>
      </c>
      <c r="BI24" s="6">
        <v>0</v>
      </c>
      <c r="BJ24" s="6" t="s">
        <v>620</v>
      </c>
      <c r="BK24" s="6">
        <v>1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</row>
    <row r="25" spans="1:70" ht="57" customHeight="1" x14ac:dyDescent="0.3">
      <c r="A25" s="6">
        <v>562234</v>
      </c>
      <c r="B25" s="6" t="s">
        <v>13</v>
      </c>
      <c r="C25" s="25" t="s">
        <v>675</v>
      </c>
      <c r="D25" s="6" t="s">
        <v>55</v>
      </c>
      <c r="E25" s="6" t="s">
        <v>15</v>
      </c>
      <c r="F25" s="7">
        <v>42110</v>
      </c>
      <c r="G25" s="7">
        <v>42038</v>
      </c>
      <c r="H25" s="8" t="s">
        <v>94</v>
      </c>
      <c r="I25" s="3" t="s">
        <v>48</v>
      </c>
      <c r="J25" s="3" t="s">
        <v>18</v>
      </c>
      <c r="K25" t="s">
        <v>19</v>
      </c>
      <c r="L25" s="6" t="s">
        <v>695</v>
      </c>
      <c r="M25" s="14" t="s">
        <v>645</v>
      </c>
      <c r="N25" s="6" t="s">
        <v>657</v>
      </c>
      <c r="O25" s="6">
        <v>0</v>
      </c>
      <c r="P25" s="6" t="s">
        <v>702</v>
      </c>
      <c r="Q25" s="35">
        <v>1</v>
      </c>
      <c r="R25" s="35">
        <v>0</v>
      </c>
      <c r="S25" s="35">
        <v>1</v>
      </c>
      <c r="T25" s="35">
        <v>0</v>
      </c>
      <c r="U25" s="35">
        <v>0</v>
      </c>
      <c r="V25" s="35">
        <v>0</v>
      </c>
      <c r="W25" s="35">
        <v>0</v>
      </c>
      <c r="X25" s="6" t="s">
        <v>657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14" t="s">
        <v>43</v>
      </c>
      <c r="AE25" s="13" t="s">
        <v>87</v>
      </c>
      <c r="AF25" s="13" t="s">
        <v>194</v>
      </c>
      <c r="AG25" s="8" t="s">
        <v>194</v>
      </c>
      <c r="AH25" s="11">
        <v>41000</v>
      </c>
      <c r="AI25" s="10">
        <v>622</v>
      </c>
      <c r="AJ25" s="12">
        <v>88.1</v>
      </c>
      <c r="AK25" s="12">
        <f t="shared" si="0"/>
        <v>14.163987138263664</v>
      </c>
      <c r="AL25" s="12" t="str">
        <f t="shared" si="1"/>
        <v>10% a 25%</v>
      </c>
      <c r="AM25" s="6" t="s">
        <v>666</v>
      </c>
      <c r="AN25" s="6" t="s">
        <v>1454</v>
      </c>
      <c r="AO25" s="6" t="s">
        <v>699</v>
      </c>
      <c r="AP25" s="6">
        <v>0</v>
      </c>
      <c r="AQ25" s="6" t="s">
        <v>667</v>
      </c>
      <c r="AR25" s="6" t="s">
        <v>1400</v>
      </c>
      <c r="AS25" s="6">
        <v>0</v>
      </c>
      <c r="AT25" s="6">
        <v>0</v>
      </c>
      <c r="AU25" s="6">
        <v>0</v>
      </c>
      <c r="AV25" s="6">
        <v>0</v>
      </c>
      <c r="AW25" s="6" t="s">
        <v>676</v>
      </c>
      <c r="AX25" s="31">
        <v>1</v>
      </c>
      <c r="AY25" s="31">
        <v>1</v>
      </c>
      <c r="AZ25" s="31">
        <v>0</v>
      </c>
      <c r="BA25" s="12">
        <f t="shared" si="2"/>
        <v>13.166666666666666</v>
      </c>
      <c r="BB25" s="31">
        <v>6</v>
      </c>
      <c r="BC25" s="31">
        <v>0</v>
      </c>
      <c r="BD25" s="31">
        <v>0</v>
      </c>
      <c r="BE25" s="31">
        <v>0</v>
      </c>
      <c r="BF25" s="12">
        <f t="shared" si="3"/>
        <v>0</v>
      </c>
      <c r="BG25" s="6" t="s">
        <v>615</v>
      </c>
      <c r="BH25" s="6" t="s">
        <v>1393</v>
      </c>
      <c r="BI25" s="6">
        <v>0</v>
      </c>
      <c r="BJ25" s="6" t="s">
        <v>609</v>
      </c>
      <c r="BK25" s="6">
        <v>1</v>
      </c>
      <c r="BL25" s="6">
        <v>1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</row>
    <row r="26" spans="1:70" ht="57.6" customHeight="1" x14ac:dyDescent="0.3">
      <c r="A26" s="6">
        <v>618567</v>
      </c>
      <c r="B26" s="6" t="s">
        <v>46</v>
      </c>
      <c r="C26" s="15" t="s">
        <v>95</v>
      </c>
      <c r="D26" s="6" t="s">
        <v>41</v>
      </c>
      <c r="E26" s="6" t="s">
        <v>15</v>
      </c>
      <c r="F26" s="7">
        <v>41967</v>
      </c>
      <c r="G26" s="7">
        <v>42300</v>
      </c>
      <c r="H26" s="8" t="s">
        <v>71</v>
      </c>
      <c r="I26" s="3" t="s">
        <v>17</v>
      </c>
      <c r="J26" s="3" t="s">
        <v>18</v>
      </c>
      <c r="K26" t="s">
        <v>19</v>
      </c>
      <c r="L26" s="6" t="s">
        <v>695</v>
      </c>
      <c r="M26" s="14" t="s">
        <v>607</v>
      </c>
      <c r="N26" s="6" t="s">
        <v>657</v>
      </c>
      <c r="O26" s="6">
        <v>0</v>
      </c>
      <c r="P26" s="6" t="s">
        <v>698</v>
      </c>
      <c r="Q26" s="35">
        <v>1</v>
      </c>
      <c r="R26" s="35">
        <v>1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  <c r="X26" s="6" t="s">
        <v>657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14" t="s">
        <v>21</v>
      </c>
      <c r="AE26" s="13" t="s">
        <v>96</v>
      </c>
      <c r="AF26" s="13" t="s">
        <v>45</v>
      </c>
      <c r="AG26" s="8" t="s">
        <v>1357</v>
      </c>
      <c r="AH26" s="11">
        <v>41242</v>
      </c>
      <c r="AI26" s="10">
        <v>622</v>
      </c>
      <c r="AJ26" s="12">
        <v>208.5</v>
      </c>
      <c r="AK26" s="12">
        <f t="shared" si="0"/>
        <v>33.520900321543408</v>
      </c>
      <c r="AL26" s="12" t="str">
        <f t="shared" si="1"/>
        <v>25% a 50%</v>
      </c>
      <c r="AM26" s="6" t="s">
        <v>677</v>
      </c>
      <c r="AN26" s="6" t="s">
        <v>616</v>
      </c>
      <c r="AO26" s="6" t="s">
        <v>699</v>
      </c>
      <c r="AP26" s="6">
        <v>0</v>
      </c>
      <c r="AQ26" s="6" t="s">
        <v>613</v>
      </c>
      <c r="AR26" s="6" t="s">
        <v>1399</v>
      </c>
      <c r="AS26" s="6">
        <v>1</v>
      </c>
      <c r="AT26" s="6">
        <v>0</v>
      </c>
      <c r="AU26" s="6">
        <v>0</v>
      </c>
      <c r="AV26" s="6">
        <v>0</v>
      </c>
      <c r="AW26" s="6" t="s">
        <v>678</v>
      </c>
      <c r="AX26" s="31">
        <v>1</v>
      </c>
      <c r="AY26" s="31">
        <v>2</v>
      </c>
      <c r="AZ26" s="31">
        <v>0</v>
      </c>
      <c r="BA26" s="12">
        <f t="shared" si="2"/>
        <v>14.166666666666666</v>
      </c>
      <c r="BB26" s="31">
        <v>10</v>
      </c>
      <c r="BC26" s="31">
        <v>0</v>
      </c>
      <c r="BD26" s="31">
        <v>0</v>
      </c>
      <c r="BE26" s="31">
        <v>0</v>
      </c>
      <c r="BF26" s="12">
        <f t="shared" si="3"/>
        <v>0</v>
      </c>
      <c r="BG26" s="6" t="s">
        <v>615</v>
      </c>
      <c r="BH26" s="6" t="s">
        <v>1393</v>
      </c>
      <c r="BI26" s="6">
        <v>0</v>
      </c>
      <c r="BJ26" s="6" t="s">
        <v>609</v>
      </c>
      <c r="BK26" s="6">
        <v>1</v>
      </c>
      <c r="BL26" s="6">
        <v>1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</row>
    <row r="27" spans="1:70" ht="66" customHeight="1" x14ac:dyDescent="0.3">
      <c r="A27" s="6">
        <v>604892</v>
      </c>
      <c r="B27" s="6" t="s">
        <v>13</v>
      </c>
      <c r="C27" s="15" t="s">
        <v>681</v>
      </c>
      <c r="D27" s="6" t="s">
        <v>64</v>
      </c>
      <c r="E27" s="6" t="s">
        <v>15</v>
      </c>
      <c r="F27" s="7">
        <v>41942</v>
      </c>
      <c r="G27" s="7">
        <v>42684</v>
      </c>
      <c r="H27" s="8" t="s">
        <v>42</v>
      </c>
      <c r="I27" s="3" t="s">
        <v>48</v>
      </c>
      <c r="J27" s="3" t="s">
        <v>18</v>
      </c>
      <c r="K27" t="s">
        <v>19</v>
      </c>
      <c r="L27" s="6" t="s">
        <v>696</v>
      </c>
      <c r="M27" s="14" t="s">
        <v>626</v>
      </c>
      <c r="N27" s="6" t="s">
        <v>657</v>
      </c>
      <c r="O27" s="6">
        <v>0</v>
      </c>
      <c r="P27" s="6" t="s">
        <v>716</v>
      </c>
      <c r="Q27" s="35">
        <v>0</v>
      </c>
      <c r="R27" s="35">
        <v>0</v>
      </c>
      <c r="S27" s="35">
        <v>1</v>
      </c>
      <c r="T27" s="35">
        <v>1</v>
      </c>
      <c r="U27" s="35">
        <v>0</v>
      </c>
      <c r="V27" s="35">
        <v>0</v>
      </c>
      <c r="W27" s="35">
        <v>0</v>
      </c>
      <c r="X27" s="6" t="s">
        <v>657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14" t="s">
        <v>43</v>
      </c>
      <c r="AE27" s="13" t="s">
        <v>97</v>
      </c>
      <c r="AF27" s="13" t="s">
        <v>194</v>
      </c>
      <c r="AG27" s="8" t="s">
        <v>194</v>
      </c>
      <c r="AH27" s="11">
        <v>41368</v>
      </c>
      <c r="AI27" s="10">
        <v>678</v>
      </c>
      <c r="AJ27" s="12">
        <v>0</v>
      </c>
      <c r="AK27" s="12">
        <f t="shared" si="0"/>
        <v>0</v>
      </c>
      <c r="AL27" s="12" t="str">
        <f t="shared" si="1"/>
        <v>Não Informado</v>
      </c>
      <c r="AM27" s="6" t="s">
        <v>679</v>
      </c>
      <c r="AN27" s="6" t="s">
        <v>1455</v>
      </c>
      <c r="AO27" s="6" t="s">
        <v>699</v>
      </c>
      <c r="AP27" s="6">
        <v>0</v>
      </c>
      <c r="AQ27" s="6" t="s">
        <v>1409</v>
      </c>
      <c r="AR27" s="6" t="s">
        <v>1400</v>
      </c>
      <c r="AS27" s="6">
        <v>1</v>
      </c>
      <c r="AT27" s="6">
        <v>0</v>
      </c>
      <c r="AU27" s="6">
        <v>0</v>
      </c>
      <c r="AV27" s="6">
        <v>2</v>
      </c>
      <c r="AW27" s="6" t="s">
        <v>680</v>
      </c>
      <c r="AX27" s="31">
        <v>2</v>
      </c>
      <c r="AY27" s="31">
        <v>4</v>
      </c>
      <c r="AZ27" s="31">
        <v>0</v>
      </c>
      <c r="BA27" s="12">
        <f t="shared" si="2"/>
        <v>28.333333333333332</v>
      </c>
      <c r="BB27" s="31">
        <v>17</v>
      </c>
      <c r="BC27" s="31">
        <v>0</v>
      </c>
      <c r="BD27" s="31">
        <v>7</v>
      </c>
      <c r="BE27" s="31">
        <v>0</v>
      </c>
      <c r="BF27" s="12">
        <f t="shared" si="3"/>
        <v>7</v>
      </c>
      <c r="BG27" s="6" t="s">
        <v>615</v>
      </c>
      <c r="BH27" s="6" t="s">
        <v>1393</v>
      </c>
      <c r="BI27" s="6">
        <v>0</v>
      </c>
      <c r="BJ27" s="6" t="s">
        <v>609</v>
      </c>
      <c r="BK27" s="6">
        <v>1</v>
      </c>
      <c r="BL27" s="6">
        <v>1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</row>
    <row r="28" spans="1:70" ht="57.6" customHeight="1" x14ac:dyDescent="0.3">
      <c r="A28" s="6">
        <v>306075</v>
      </c>
      <c r="B28" s="6" t="s">
        <v>24</v>
      </c>
      <c r="C28" s="15" t="s">
        <v>98</v>
      </c>
      <c r="D28" s="6" t="s">
        <v>14</v>
      </c>
      <c r="E28" s="6" t="s">
        <v>15</v>
      </c>
      <c r="F28" s="7">
        <v>41915</v>
      </c>
      <c r="G28" s="7">
        <v>42104</v>
      </c>
      <c r="H28" s="8" t="s">
        <v>38</v>
      </c>
      <c r="I28" s="3" t="s">
        <v>48</v>
      </c>
      <c r="J28" s="3" t="s">
        <v>18</v>
      </c>
      <c r="K28" t="s">
        <v>19</v>
      </c>
      <c r="L28" s="6" t="s">
        <v>696</v>
      </c>
      <c r="M28" s="14" t="s">
        <v>607</v>
      </c>
      <c r="N28" s="6" t="s">
        <v>657</v>
      </c>
      <c r="O28" s="6">
        <v>0</v>
      </c>
      <c r="P28" s="6" t="s">
        <v>730</v>
      </c>
      <c r="Q28" s="35">
        <v>0</v>
      </c>
      <c r="R28" s="35">
        <v>1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6" t="s">
        <v>717</v>
      </c>
      <c r="Y28" s="6">
        <v>1</v>
      </c>
      <c r="Z28" s="6">
        <v>0</v>
      </c>
      <c r="AA28" s="6">
        <v>0</v>
      </c>
      <c r="AB28" s="6">
        <v>1</v>
      </c>
      <c r="AC28" s="6">
        <v>0</v>
      </c>
      <c r="AD28" s="14" t="s">
        <v>21</v>
      </c>
      <c r="AE28" s="13" t="s">
        <v>99</v>
      </c>
      <c r="AF28" s="13" t="s">
        <v>23</v>
      </c>
      <c r="AG28" s="8" t="s">
        <v>1357</v>
      </c>
      <c r="AH28" s="11">
        <v>40148</v>
      </c>
      <c r="AI28" s="10">
        <v>265</v>
      </c>
      <c r="AJ28" s="12">
        <v>1508</v>
      </c>
      <c r="AK28" s="12">
        <f t="shared" si="0"/>
        <v>569.05660377358481</v>
      </c>
      <c r="AL28" s="12" t="str">
        <f t="shared" si="1"/>
        <v>Acima de 50%</v>
      </c>
      <c r="AM28" s="6" t="s">
        <v>684</v>
      </c>
      <c r="AN28" s="6" t="s">
        <v>1454</v>
      </c>
      <c r="AO28" s="6" t="s">
        <v>699</v>
      </c>
      <c r="AP28" s="6">
        <v>0</v>
      </c>
      <c r="AQ28" s="6" t="s">
        <v>682</v>
      </c>
      <c r="AR28" s="6" t="s">
        <v>1400</v>
      </c>
      <c r="AS28" s="6">
        <v>1</v>
      </c>
      <c r="AT28" s="6">
        <v>0</v>
      </c>
      <c r="AU28" s="6">
        <v>0</v>
      </c>
      <c r="AV28" s="6">
        <v>0</v>
      </c>
      <c r="AW28" s="6" t="s">
        <v>683</v>
      </c>
      <c r="AX28" s="31">
        <v>2</v>
      </c>
      <c r="AY28" s="31">
        <v>7</v>
      </c>
      <c r="AZ28" s="31">
        <v>7</v>
      </c>
      <c r="BA28" s="12">
        <f t="shared" si="2"/>
        <v>31.566666666666666</v>
      </c>
      <c r="BB28" s="31">
        <v>12</v>
      </c>
      <c r="BC28" s="31">
        <v>0</v>
      </c>
      <c r="BD28" s="31">
        <v>0</v>
      </c>
      <c r="BE28" s="31">
        <v>0</v>
      </c>
      <c r="BF28" s="12">
        <f t="shared" si="3"/>
        <v>0</v>
      </c>
      <c r="BG28" s="6" t="s">
        <v>615</v>
      </c>
      <c r="BH28" s="6" t="s">
        <v>1393</v>
      </c>
      <c r="BI28" s="6">
        <v>0</v>
      </c>
      <c r="BJ28" s="6" t="s">
        <v>609</v>
      </c>
      <c r="BK28" s="6">
        <v>0</v>
      </c>
      <c r="BL28" s="6">
        <v>1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</row>
    <row r="29" spans="1:70" ht="59.4" customHeight="1" x14ac:dyDescent="0.3">
      <c r="A29" s="6">
        <v>1531049</v>
      </c>
      <c r="B29" s="6" t="s">
        <v>102</v>
      </c>
      <c r="C29" s="15" t="s">
        <v>103</v>
      </c>
      <c r="D29" s="6" t="s">
        <v>41</v>
      </c>
      <c r="E29" s="6" t="s">
        <v>15</v>
      </c>
      <c r="F29" s="7">
        <v>42291</v>
      </c>
      <c r="G29" s="7">
        <v>42515</v>
      </c>
      <c r="H29" s="8" t="s">
        <v>57</v>
      </c>
      <c r="I29" s="3" t="s">
        <v>17</v>
      </c>
      <c r="J29" s="3" t="s">
        <v>18</v>
      </c>
      <c r="K29" t="s">
        <v>19</v>
      </c>
      <c r="L29" s="6" t="s">
        <v>696</v>
      </c>
      <c r="M29" s="14" t="s">
        <v>689</v>
      </c>
      <c r="N29" s="6" t="s">
        <v>657</v>
      </c>
      <c r="O29" s="6">
        <v>0</v>
      </c>
      <c r="P29" s="6" t="s">
        <v>707</v>
      </c>
      <c r="Q29" s="35">
        <v>0</v>
      </c>
      <c r="R29" s="35">
        <v>1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6" t="s">
        <v>657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14" t="s">
        <v>43</v>
      </c>
      <c r="AE29" s="13" t="s">
        <v>104</v>
      </c>
      <c r="AF29" s="13" t="s">
        <v>688</v>
      </c>
      <c r="AG29" s="8" t="s">
        <v>1357</v>
      </c>
      <c r="AH29" s="11">
        <v>41137</v>
      </c>
      <c r="AI29" s="10">
        <v>622</v>
      </c>
      <c r="AJ29" s="12">
        <v>54.6</v>
      </c>
      <c r="AK29" s="12">
        <f t="shared" si="0"/>
        <v>8.7781350482315119</v>
      </c>
      <c r="AL29" s="12" t="str">
        <f t="shared" si="1"/>
        <v>Até 10%</v>
      </c>
      <c r="AM29" s="6" t="s">
        <v>677</v>
      </c>
      <c r="AN29" s="6" t="s">
        <v>616</v>
      </c>
      <c r="AO29" s="6" t="s">
        <v>699</v>
      </c>
      <c r="AP29" s="6">
        <v>0</v>
      </c>
      <c r="AQ29" s="6" t="s">
        <v>658</v>
      </c>
      <c r="AR29" s="6" t="s">
        <v>1399</v>
      </c>
      <c r="AS29" s="6">
        <v>0</v>
      </c>
      <c r="AT29" s="6">
        <v>0</v>
      </c>
      <c r="AU29" s="6">
        <v>0</v>
      </c>
      <c r="AV29" s="6">
        <v>0</v>
      </c>
      <c r="AW29" s="6" t="s">
        <v>687</v>
      </c>
      <c r="AX29" s="31">
        <v>0</v>
      </c>
      <c r="AY29" s="31">
        <v>4</v>
      </c>
      <c r="AZ29" s="31">
        <v>0</v>
      </c>
      <c r="BA29" s="12">
        <f t="shared" si="2"/>
        <v>4</v>
      </c>
      <c r="BB29" s="31">
        <v>0</v>
      </c>
      <c r="BC29" s="31">
        <v>0</v>
      </c>
      <c r="BD29" s="31">
        <v>0</v>
      </c>
      <c r="BE29" s="31">
        <v>0</v>
      </c>
      <c r="BF29" s="12">
        <f t="shared" si="3"/>
        <v>0</v>
      </c>
      <c r="BG29" s="6" t="s">
        <v>615</v>
      </c>
      <c r="BH29" s="6" t="s">
        <v>1393</v>
      </c>
      <c r="BI29" s="6">
        <v>0</v>
      </c>
      <c r="BJ29" s="6" t="s">
        <v>609</v>
      </c>
      <c r="BK29" s="6">
        <v>0</v>
      </c>
      <c r="BL29" s="6">
        <v>1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</row>
    <row r="30" spans="1:70" ht="61.8" customHeight="1" x14ac:dyDescent="0.3">
      <c r="A30" s="6">
        <v>325822</v>
      </c>
      <c r="B30" s="6" t="s">
        <v>24</v>
      </c>
      <c r="C30" s="15" t="s">
        <v>105</v>
      </c>
      <c r="D30" s="6" t="s">
        <v>106</v>
      </c>
      <c r="E30" s="6" t="s">
        <v>15</v>
      </c>
      <c r="F30" s="7">
        <v>42158</v>
      </c>
      <c r="G30" s="7">
        <v>42423</v>
      </c>
      <c r="H30" s="8" t="s">
        <v>71</v>
      </c>
      <c r="I30" s="3" t="s">
        <v>17</v>
      </c>
      <c r="J30" s="3" t="s">
        <v>18</v>
      </c>
      <c r="K30" t="s">
        <v>19</v>
      </c>
      <c r="L30" s="6" t="s">
        <v>695</v>
      </c>
      <c r="M30" s="14" t="s">
        <v>35</v>
      </c>
      <c r="N30" s="6" t="s">
        <v>657</v>
      </c>
      <c r="O30" s="6">
        <v>0</v>
      </c>
      <c r="P30" s="6" t="s">
        <v>707</v>
      </c>
      <c r="Q30" s="35">
        <v>0</v>
      </c>
      <c r="R30" s="35">
        <v>1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6" t="s">
        <v>657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14" t="s">
        <v>43</v>
      </c>
      <c r="AE30" s="13" t="s">
        <v>107</v>
      </c>
      <c r="AF30" s="13" t="s">
        <v>108</v>
      </c>
      <c r="AG30" s="8" t="s">
        <v>1357</v>
      </c>
      <c r="AH30" s="11">
        <v>40078</v>
      </c>
      <c r="AI30" s="10">
        <v>265</v>
      </c>
      <c r="AJ30" s="12">
        <v>355.7</v>
      </c>
      <c r="AK30" s="12">
        <f t="shared" si="0"/>
        <v>134.22641509433961</v>
      </c>
      <c r="AL30" s="12" t="str">
        <f t="shared" si="1"/>
        <v>Acima de 50%</v>
      </c>
      <c r="AM30" s="6" t="s">
        <v>690</v>
      </c>
      <c r="AN30" s="6" t="s">
        <v>1454</v>
      </c>
      <c r="AO30" s="6" t="s">
        <v>699</v>
      </c>
      <c r="AP30" s="6">
        <v>0</v>
      </c>
      <c r="AQ30" s="6" t="s">
        <v>613</v>
      </c>
      <c r="AR30" s="6" t="s">
        <v>1399</v>
      </c>
      <c r="AS30" s="6">
        <v>1</v>
      </c>
      <c r="AT30" s="6">
        <v>0</v>
      </c>
      <c r="AU30" s="6">
        <v>0</v>
      </c>
      <c r="AV30" s="6">
        <v>0</v>
      </c>
      <c r="AW30" s="6" t="s">
        <v>686</v>
      </c>
      <c r="AX30" s="31">
        <v>1</v>
      </c>
      <c r="AY30" s="31">
        <v>0</v>
      </c>
      <c r="AZ30" s="31">
        <v>0</v>
      </c>
      <c r="BA30" s="12">
        <f t="shared" si="2"/>
        <v>12.166666666666666</v>
      </c>
      <c r="BB30" s="31">
        <v>10</v>
      </c>
      <c r="BC30" s="31">
        <v>0</v>
      </c>
      <c r="BD30" s="31">
        <v>0</v>
      </c>
      <c r="BE30" s="31">
        <v>0</v>
      </c>
      <c r="BF30" s="12">
        <f t="shared" si="3"/>
        <v>0</v>
      </c>
      <c r="BG30" s="6" t="s">
        <v>637</v>
      </c>
      <c r="BH30" s="6" t="s">
        <v>1394</v>
      </c>
      <c r="BI30" s="6">
        <v>0</v>
      </c>
      <c r="BJ30" s="6" t="s">
        <v>609</v>
      </c>
      <c r="BK30" s="6">
        <v>1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</row>
    <row r="31" spans="1:70" ht="48.6" customHeight="1" x14ac:dyDescent="0.3">
      <c r="A31" s="6">
        <v>605580</v>
      </c>
      <c r="B31" s="6" t="s">
        <v>46</v>
      </c>
      <c r="C31" s="15" t="s">
        <v>109</v>
      </c>
      <c r="D31" s="6" t="s">
        <v>106</v>
      </c>
      <c r="E31" s="6" t="s">
        <v>15</v>
      </c>
      <c r="F31" s="7">
        <v>41942</v>
      </c>
      <c r="G31" s="7">
        <v>42551</v>
      </c>
      <c r="H31" s="8" t="s">
        <v>42</v>
      </c>
      <c r="I31" s="3" t="s">
        <v>48</v>
      </c>
      <c r="J31" s="3" t="s">
        <v>18</v>
      </c>
      <c r="K31" t="s">
        <v>19</v>
      </c>
      <c r="L31" s="6" t="s">
        <v>696</v>
      </c>
      <c r="M31" s="14" t="s">
        <v>1013</v>
      </c>
      <c r="N31" s="6" t="s">
        <v>657</v>
      </c>
      <c r="O31" s="6">
        <v>0</v>
      </c>
      <c r="P31" s="6" t="s">
        <v>714</v>
      </c>
      <c r="Q31" s="35">
        <v>1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6" t="s">
        <v>657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14" t="s">
        <v>21</v>
      </c>
      <c r="AE31" s="3" t="s">
        <v>110</v>
      </c>
      <c r="AF31" s="13" t="s">
        <v>692</v>
      </c>
      <c r="AG31" s="8" t="s">
        <v>1357</v>
      </c>
      <c r="AH31" s="11">
        <v>39949</v>
      </c>
      <c r="AI31" s="10">
        <v>265</v>
      </c>
      <c r="AJ31" s="12">
        <v>210</v>
      </c>
      <c r="AK31" s="12">
        <f t="shared" si="0"/>
        <v>79.245283018867923</v>
      </c>
      <c r="AL31" s="12" t="str">
        <f t="shared" si="1"/>
        <v>Acima de 50%</v>
      </c>
      <c r="AM31" s="6" t="s">
        <v>693</v>
      </c>
      <c r="AN31" s="6" t="s">
        <v>1454</v>
      </c>
      <c r="AO31" s="6" t="s">
        <v>699</v>
      </c>
      <c r="AP31" s="6">
        <v>0</v>
      </c>
      <c r="AQ31" s="6" t="s">
        <v>628</v>
      </c>
      <c r="AR31" s="6" t="s">
        <v>1400</v>
      </c>
      <c r="AS31" s="6">
        <v>1</v>
      </c>
      <c r="AT31" s="6">
        <v>0</v>
      </c>
      <c r="AU31" s="6">
        <v>0</v>
      </c>
      <c r="AV31" s="6">
        <v>0</v>
      </c>
      <c r="AW31" s="6">
        <v>0</v>
      </c>
      <c r="AX31" s="31">
        <v>0</v>
      </c>
      <c r="AY31" s="31">
        <v>0</v>
      </c>
      <c r="AZ31" s="31">
        <v>0</v>
      </c>
      <c r="BA31" s="12">
        <f t="shared" si="2"/>
        <v>0</v>
      </c>
      <c r="BB31" s="31">
        <v>0</v>
      </c>
      <c r="BC31" s="31">
        <v>0</v>
      </c>
      <c r="BD31" s="31">
        <v>0</v>
      </c>
      <c r="BE31" s="31">
        <v>0</v>
      </c>
      <c r="BF31" s="12">
        <f t="shared" si="3"/>
        <v>0</v>
      </c>
      <c r="BG31" s="6">
        <v>0</v>
      </c>
      <c r="BH31" s="6">
        <v>0</v>
      </c>
      <c r="BI31" s="6">
        <v>0</v>
      </c>
      <c r="BJ31" s="6" t="s">
        <v>620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</row>
    <row r="32" spans="1:70" ht="45.6" customHeight="1" x14ac:dyDescent="0.3">
      <c r="A32" s="6">
        <v>680741</v>
      </c>
      <c r="B32" s="6" t="s">
        <v>13</v>
      </c>
      <c r="C32" s="15" t="s">
        <v>718</v>
      </c>
      <c r="D32" s="6" t="s">
        <v>64</v>
      </c>
      <c r="E32" s="6" t="s">
        <v>15</v>
      </c>
      <c r="F32" s="7">
        <v>42094</v>
      </c>
      <c r="G32" s="7">
        <v>42164</v>
      </c>
      <c r="H32" s="8" t="s">
        <v>111</v>
      </c>
      <c r="I32" s="3" t="s">
        <v>17</v>
      </c>
      <c r="J32" s="3" t="s">
        <v>18</v>
      </c>
      <c r="K32" t="s">
        <v>19</v>
      </c>
      <c r="L32" s="6" t="s">
        <v>696</v>
      </c>
      <c r="M32" s="14" t="s">
        <v>626</v>
      </c>
      <c r="N32" s="6" t="s">
        <v>657</v>
      </c>
      <c r="O32" s="6">
        <v>0</v>
      </c>
      <c r="P32" s="6" t="s">
        <v>698</v>
      </c>
      <c r="Q32" s="35">
        <v>1</v>
      </c>
      <c r="R32" s="35">
        <v>1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6" t="s">
        <v>717</v>
      </c>
      <c r="Y32" s="6">
        <v>1</v>
      </c>
      <c r="Z32" s="6">
        <v>0</v>
      </c>
      <c r="AA32" s="6">
        <v>0</v>
      </c>
      <c r="AB32" s="6">
        <v>1</v>
      </c>
      <c r="AC32" s="6">
        <v>0</v>
      </c>
      <c r="AD32" s="14" t="s">
        <v>43</v>
      </c>
      <c r="AE32" s="3" t="s">
        <v>112</v>
      </c>
      <c r="AF32" s="13" t="s">
        <v>719</v>
      </c>
      <c r="AG32" s="8" t="s">
        <v>719</v>
      </c>
      <c r="AH32" s="11">
        <v>41459</v>
      </c>
      <c r="AI32" s="10">
        <v>678</v>
      </c>
      <c r="AJ32" s="12">
        <v>143.6</v>
      </c>
      <c r="AK32" s="12">
        <f t="shared" si="0"/>
        <v>21.17994100294985</v>
      </c>
      <c r="AL32" s="12" t="str">
        <f t="shared" si="1"/>
        <v>10% a 25%</v>
      </c>
      <c r="AM32" s="6" t="s">
        <v>655</v>
      </c>
      <c r="AN32" s="6" t="s">
        <v>655</v>
      </c>
      <c r="AO32" s="6" t="s">
        <v>701</v>
      </c>
      <c r="AP32" s="6">
        <v>1</v>
      </c>
      <c r="AQ32" s="6" t="s">
        <v>658</v>
      </c>
      <c r="AR32" s="6" t="s">
        <v>1399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31">
        <v>0</v>
      </c>
      <c r="AY32" s="31">
        <v>0</v>
      </c>
      <c r="AZ32" s="31">
        <v>0</v>
      </c>
      <c r="BA32" s="12">
        <f t="shared" si="2"/>
        <v>0</v>
      </c>
      <c r="BB32" s="31">
        <v>0</v>
      </c>
      <c r="BC32" s="31">
        <v>0</v>
      </c>
      <c r="BD32" s="31">
        <v>0</v>
      </c>
      <c r="BE32" s="31">
        <v>0</v>
      </c>
      <c r="BF32" s="12">
        <f t="shared" si="3"/>
        <v>0</v>
      </c>
      <c r="BG32" s="6">
        <v>0</v>
      </c>
      <c r="BH32" s="6">
        <v>0</v>
      </c>
      <c r="BI32" s="6">
        <v>0</v>
      </c>
      <c r="BJ32" s="6" t="s">
        <v>620</v>
      </c>
      <c r="BK32" s="6">
        <v>0</v>
      </c>
      <c r="BL32" s="6">
        <v>1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</row>
    <row r="33" spans="1:70" ht="50.4" customHeight="1" x14ac:dyDescent="0.3">
      <c r="A33" s="6">
        <v>313880</v>
      </c>
      <c r="B33" s="6" t="s">
        <v>24</v>
      </c>
      <c r="C33" s="15" t="s">
        <v>113</v>
      </c>
      <c r="D33" s="6" t="s">
        <v>14</v>
      </c>
      <c r="E33" s="6" t="s">
        <v>15</v>
      </c>
      <c r="F33" s="7">
        <v>42017</v>
      </c>
      <c r="G33" s="7">
        <v>42110</v>
      </c>
      <c r="H33" s="8" t="s">
        <v>71</v>
      </c>
      <c r="I33" s="3" t="s">
        <v>48</v>
      </c>
      <c r="J33" s="3" t="s">
        <v>18</v>
      </c>
      <c r="K33" t="s">
        <v>19</v>
      </c>
      <c r="L33" s="6" t="s">
        <v>695</v>
      </c>
      <c r="M33" s="14" t="s">
        <v>35</v>
      </c>
      <c r="N33" s="6" t="s">
        <v>657</v>
      </c>
      <c r="O33" s="6">
        <v>0</v>
      </c>
      <c r="P33" s="6" t="s">
        <v>722</v>
      </c>
      <c r="Q33" s="35">
        <v>1</v>
      </c>
      <c r="R33" s="35">
        <v>0</v>
      </c>
      <c r="S33" s="35">
        <v>1</v>
      </c>
      <c r="T33" s="35">
        <v>1</v>
      </c>
      <c r="U33" s="35">
        <v>0</v>
      </c>
      <c r="V33" s="35">
        <v>0</v>
      </c>
      <c r="W33" s="35">
        <v>0</v>
      </c>
      <c r="X33" s="6" t="s">
        <v>657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14" t="s">
        <v>43</v>
      </c>
      <c r="AE33" s="3" t="s">
        <v>114</v>
      </c>
      <c r="AF33" s="13" t="s">
        <v>23</v>
      </c>
      <c r="AG33" s="8" t="s">
        <v>1357</v>
      </c>
      <c r="AH33" s="11">
        <v>41369</v>
      </c>
      <c r="AI33" s="10">
        <v>678</v>
      </c>
      <c r="AJ33" s="12">
        <v>165</v>
      </c>
      <c r="AK33" s="12">
        <f t="shared" si="0"/>
        <v>24.336283185840706</v>
      </c>
      <c r="AL33" s="12" t="str">
        <f t="shared" si="1"/>
        <v>10% a 25%</v>
      </c>
      <c r="AM33" s="6" t="s">
        <v>720</v>
      </c>
      <c r="AN33" s="6" t="s">
        <v>1455</v>
      </c>
      <c r="AO33" s="6" t="s">
        <v>699</v>
      </c>
      <c r="AP33" s="6">
        <v>0</v>
      </c>
      <c r="AQ33" s="6" t="s">
        <v>628</v>
      </c>
      <c r="AR33" s="6" t="s">
        <v>1400</v>
      </c>
      <c r="AS33" s="6">
        <v>1</v>
      </c>
      <c r="AT33" s="6">
        <v>0</v>
      </c>
      <c r="AU33" s="6">
        <v>0</v>
      </c>
      <c r="AV33" s="6">
        <v>0</v>
      </c>
      <c r="AW33" s="6" t="s">
        <v>721</v>
      </c>
      <c r="AX33" s="31">
        <v>2</v>
      </c>
      <c r="AY33" s="31">
        <v>4</v>
      </c>
      <c r="AZ33" s="31">
        <v>0</v>
      </c>
      <c r="BA33" s="12">
        <f t="shared" si="2"/>
        <v>28.333333333333332</v>
      </c>
      <c r="BB33" s="31">
        <v>11</v>
      </c>
      <c r="BC33" s="31">
        <v>0</v>
      </c>
      <c r="BD33" s="31">
        <v>0</v>
      </c>
      <c r="BE33" s="31">
        <v>0</v>
      </c>
      <c r="BF33" s="12">
        <f t="shared" si="3"/>
        <v>0</v>
      </c>
      <c r="BG33" s="6" t="s">
        <v>611</v>
      </c>
      <c r="BH33" s="6" t="s">
        <v>1392</v>
      </c>
      <c r="BI33" s="6">
        <v>0</v>
      </c>
      <c r="BJ33" s="6" t="s">
        <v>609</v>
      </c>
      <c r="BK33" s="6">
        <v>1</v>
      </c>
      <c r="BL33" s="6">
        <v>1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</row>
    <row r="34" spans="1:70" ht="55.8" customHeight="1" x14ac:dyDescent="0.3">
      <c r="A34" s="6">
        <v>315623</v>
      </c>
      <c r="B34" s="6" t="s">
        <v>24</v>
      </c>
      <c r="C34" s="15" t="s">
        <v>115</v>
      </c>
      <c r="D34" s="6" t="s">
        <v>14</v>
      </c>
      <c r="E34" s="6" t="s">
        <v>15</v>
      </c>
      <c r="F34" s="7">
        <v>42040</v>
      </c>
      <c r="G34" s="7">
        <v>42432</v>
      </c>
      <c r="H34" s="8" t="s">
        <v>57</v>
      </c>
      <c r="I34" s="3" t="s">
        <v>17</v>
      </c>
      <c r="J34" s="3" t="s">
        <v>18</v>
      </c>
      <c r="K34" t="s">
        <v>19</v>
      </c>
      <c r="L34" s="6" t="s">
        <v>696</v>
      </c>
      <c r="M34" s="14" t="s">
        <v>35</v>
      </c>
      <c r="N34" s="6" t="s">
        <v>657</v>
      </c>
      <c r="O34" s="6">
        <v>0</v>
      </c>
      <c r="P34" s="6" t="s">
        <v>714</v>
      </c>
      <c r="Q34" s="35">
        <v>1</v>
      </c>
      <c r="R34" s="35">
        <v>0</v>
      </c>
      <c r="S34" s="35">
        <v>0</v>
      </c>
      <c r="T34" s="35">
        <v>0</v>
      </c>
      <c r="U34" s="35">
        <v>0</v>
      </c>
      <c r="V34" s="35">
        <v>0</v>
      </c>
      <c r="W34" s="35">
        <v>0</v>
      </c>
      <c r="X34" s="6" t="s">
        <v>657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14" t="s">
        <v>43</v>
      </c>
      <c r="AE34" s="3" t="s">
        <v>116</v>
      </c>
      <c r="AF34" s="13" t="s">
        <v>23</v>
      </c>
      <c r="AG34" s="8" t="s">
        <v>1357</v>
      </c>
      <c r="AH34" s="11">
        <v>41368</v>
      </c>
      <c r="AI34" s="10">
        <v>678</v>
      </c>
      <c r="AJ34" s="12">
        <v>200</v>
      </c>
      <c r="AK34" s="12">
        <f t="shared" si="0"/>
        <v>29.498525073746311</v>
      </c>
      <c r="AL34" s="12" t="str">
        <f t="shared" si="1"/>
        <v>25% a 50%</v>
      </c>
      <c r="AM34" s="6" t="s">
        <v>723</v>
      </c>
      <c r="AN34" s="6" t="s">
        <v>1454</v>
      </c>
      <c r="AO34" s="6" t="s">
        <v>699</v>
      </c>
      <c r="AP34" s="6">
        <v>0</v>
      </c>
      <c r="AQ34" s="6" t="s">
        <v>658</v>
      </c>
      <c r="AR34" s="6" t="s">
        <v>1399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31">
        <v>0</v>
      </c>
      <c r="AY34" s="31">
        <v>0</v>
      </c>
      <c r="AZ34" s="31">
        <v>0</v>
      </c>
      <c r="BA34" s="12">
        <f t="shared" si="2"/>
        <v>0</v>
      </c>
      <c r="BB34" s="31">
        <v>0</v>
      </c>
      <c r="BC34" s="31">
        <v>0</v>
      </c>
      <c r="BD34" s="31">
        <v>0</v>
      </c>
      <c r="BE34" s="31">
        <v>0</v>
      </c>
      <c r="BF34" s="12">
        <f t="shared" si="3"/>
        <v>0</v>
      </c>
      <c r="BG34" s="6">
        <v>0</v>
      </c>
      <c r="BH34" s="6">
        <v>0</v>
      </c>
      <c r="BI34" s="6">
        <v>0</v>
      </c>
      <c r="BJ34" s="6" t="s">
        <v>620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</row>
    <row r="35" spans="1:70" ht="60" customHeight="1" x14ac:dyDescent="0.3">
      <c r="A35" s="6">
        <v>589659</v>
      </c>
      <c r="B35" s="6" t="s">
        <v>46</v>
      </c>
      <c r="C35" s="15" t="s">
        <v>117</v>
      </c>
      <c r="D35" s="6" t="s">
        <v>64</v>
      </c>
      <c r="E35" s="6" t="s">
        <v>15</v>
      </c>
      <c r="F35" s="7">
        <v>41914</v>
      </c>
      <c r="G35" s="7">
        <v>42088</v>
      </c>
      <c r="H35" s="8" t="s">
        <v>118</v>
      </c>
      <c r="I35" s="3" t="s">
        <v>17</v>
      </c>
      <c r="J35" s="3" t="s">
        <v>18</v>
      </c>
      <c r="K35" t="s">
        <v>19</v>
      </c>
      <c r="L35" s="6" t="s">
        <v>696</v>
      </c>
      <c r="M35" s="14" t="s">
        <v>645</v>
      </c>
      <c r="N35" s="6" t="s">
        <v>657</v>
      </c>
      <c r="O35" s="6">
        <v>0</v>
      </c>
      <c r="P35" s="6" t="s">
        <v>1367</v>
      </c>
      <c r="Q35" s="35">
        <v>0</v>
      </c>
      <c r="R35" s="35">
        <v>0</v>
      </c>
      <c r="S35" s="35">
        <v>1</v>
      </c>
      <c r="T35" s="35">
        <v>0</v>
      </c>
      <c r="U35" s="35">
        <v>0</v>
      </c>
      <c r="V35" s="35">
        <v>0</v>
      </c>
      <c r="W35" s="35">
        <v>0</v>
      </c>
      <c r="X35" s="6" t="s">
        <v>717</v>
      </c>
      <c r="Y35" s="6">
        <v>1</v>
      </c>
      <c r="Z35" s="6">
        <v>0</v>
      </c>
      <c r="AA35" s="6">
        <v>0</v>
      </c>
      <c r="AB35" s="6">
        <v>1</v>
      </c>
      <c r="AC35" s="6">
        <v>0</v>
      </c>
      <c r="AD35" s="14" t="s">
        <v>21</v>
      </c>
      <c r="AE35" s="3" t="s">
        <v>119</v>
      </c>
      <c r="AF35" s="13" t="s">
        <v>66</v>
      </c>
      <c r="AG35" s="8" t="s">
        <v>1357</v>
      </c>
      <c r="AH35" s="11">
        <v>40740</v>
      </c>
      <c r="AI35" s="10">
        <v>545</v>
      </c>
      <c r="AJ35" s="12">
        <v>40</v>
      </c>
      <c r="AK35" s="12">
        <f t="shared" si="0"/>
        <v>7.3394495412844041</v>
      </c>
      <c r="AL35" s="12" t="str">
        <f t="shared" si="1"/>
        <v>Até 10%</v>
      </c>
      <c r="AM35" s="6" t="s">
        <v>726</v>
      </c>
      <c r="AN35" s="6" t="s">
        <v>1454</v>
      </c>
      <c r="AO35" s="6" t="s">
        <v>699</v>
      </c>
      <c r="AP35" s="6">
        <v>0</v>
      </c>
      <c r="AQ35" s="6" t="s">
        <v>674</v>
      </c>
      <c r="AR35" s="6" t="s">
        <v>1401</v>
      </c>
      <c r="AS35" s="6">
        <v>0</v>
      </c>
      <c r="AT35" s="6">
        <v>0</v>
      </c>
      <c r="AU35" s="6">
        <v>0</v>
      </c>
      <c r="AV35" s="6">
        <v>0</v>
      </c>
      <c r="AW35" s="6" t="s">
        <v>727</v>
      </c>
      <c r="AX35" s="31">
        <v>0</v>
      </c>
      <c r="AY35" s="31">
        <v>0</v>
      </c>
      <c r="AZ35" s="31">
        <v>0</v>
      </c>
      <c r="BA35" s="12">
        <f t="shared" si="2"/>
        <v>0</v>
      </c>
      <c r="BB35" s="31">
        <v>3</v>
      </c>
      <c r="BC35" s="31">
        <v>0</v>
      </c>
      <c r="BD35" s="31">
        <v>4</v>
      </c>
      <c r="BE35" s="31">
        <v>0</v>
      </c>
      <c r="BF35" s="12">
        <f t="shared" si="3"/>
        <v>4</v>
      </c>
      <c r="BG35" s="6" t="s">
        <v>636</v>
      </c>
      <c r="BH35" s="6" t="s">
        <v>1394</v>
      </c>
      <c r="BI35" s="6">
        <v>1</v>
      </c>
      <c r="BJ35" s="6" t="s">
        <v>609</v>
      </c>
      <c r="BK35" s="6">
        <v>0</v>
      </c>
      <c r="BL35" s="6">
        <v>0</v>
      </c>
      <c r="BM35" s="6">
        <v>0</v>
      </c>
      <c r="BN35" s="6">
        <v>1</v>
      </c>
      <c r="BO35" s="6">
        <v>0</v>
      </c>
      <c r="BP35" s="6">
        <v>0</v>
      </c>
      <c r="BQ35" s="6">
        <v>0</v>
      </c>
      <c r="BR35" s="6">
        <v>0</v>
      </c>
    </row>
    <row r="36" spans="1:70" ht="61.8" customHeight="1" x14ac:dyDescent="0.3">
      <c r="A36" s="6">
        <v>1518978</v>
      </c>
      <c r="B36" s="6" t="s">
        <v>26</v>
      </c>
      <c r="C36" s="15" t="s">
        <v>120</v>
      </c>
      <c r="D36" s="6" t="s">
        <v>41</v>
      </c>
      <c r="E36" s="6" t="s">
        <v>15</v>
      </c>
      <c r="F36" s="7">
        <v>42075</v>
      </c>
      <c r="G36" s="7">
        <v>42487</v>
      </c>
      <c r="H36" s="8" t="s">
        <v>29</v>
      </c>
      <c r="I36" s="3" t="s">
        <v>17</v>
      </c>
      <c r="J36" s="3" t="s">
        <v>18</v>
      </c>
      <c r="K36" t="s">
        <v>19</v>
      </c>
      <c r="L36" s="6" t="s">
        <v>695</v>
      </c>
      <c r="M36" s="14" t="s">
        <v>626</v>
      </c>
      <c r="N36" s="6" t="s">
        <v>657</v>
      </c>
      <c r="O36" s="6">
        <v>0</v>
      </c>
      <c r="P36" s="6" t="s">
        <v>731</v>
      </c>
      <c r="Q36" s="35">
        <v>0</v>
      </c>
      <c r="R36" s="35">
        <v>0</v>
      </c>
      <c r="S36" s="35">
        <v>0</v>
      </c>
      <c r="T36" s="35">
        <v>0</v>
      </c>
      <c r="U36" s="35">
        <v>0</v>
      </c>
      <c r="V36" s="35">
        <v>0</v>
      </c>
      <c r="W36" s="35">
        <v>1</v>
      </c>
      <c r="X36" s="6" t="s">
        <v>657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14" t="s">
        <v>21</v>
      </c>
      <c r="AE36" s="13" t="s">
        <v>121</v>
      </c>
      <c r="AF36" s="13" t="s">
        <v>45</v>
      </c>
      <c r="AG36" s="8" t="s">
        <v>1357</v>
      </c>
      <c r="AH36" s="11">
        <v>40173</v>
      </c>
      <c r="AI36" s="10">
        <v>265</v>
      </c>
      <c r="AJ36" s="12">
        <v>28</v>
      </c>
      <c r="AK36" s="12">
        <f t="shared" si="0"/>
        <v>10.566037735849058</v>
      </c>
      <c r="AL36" s="12" t="str">
        <f t="shared" si="1"/>
        <v>10% a 25%</v>
      </c>
      <c r="AM36" s="6" t="s">
        <v>728</v>
      </c>
      <c r="AN36" s="6" t="s">
        <v>1454</v>
      </c>
      <c r="AO36" s="6" t="s">
        <v>699</v>
      </c>
      <c r="AP36" s="6">
        <v>0</v>
      </c>
      <c r="AQ36" s="6" t="s">
        <v>613</v>
      </c>
      <c r="AR36" s="6" t="s">
        <v>1399</v>
      </c>
      <c r="AS36" s="6">
        <v>1</v>
      </c>
      <c r="AT36" s="6">
        <v>0</v>
      </c>
      <c r="AU36" s="6">
        <v>0</v>
      </c>
      <c r="AV36" s="6">
        <v>0</v>
      </c>
      <c r="AW36" s="6" t="s">
        <v>686</v>
      </c>
      <c r="AX36" s="31">
        <v>1</v>
      </c>
      <c r="AY36" s="31">
        <v>0</v>
      </c>
      <c r="AZ36" s="31">
        <v>0</v>
      </c>
      <c r="BA36" s="12">
        <f t="shared" si="2"/>
        <v>12.166666666666666</v>
      </c>
      <c r="BB36" s="31">
        <v>10</v>
      </c>
      <c r="BC36" s="31">
        <v>0</v>
      </c>
      <c r="BD36" s="31">
        <v>0</v>
      </c>
      <c r="BE36" s="31">
        <v>0</v>
      </c>
      <c r="BF36" s="12">
        <f t="shared" si="3"/>
        <v>0</v>
      </c>
      <c r="BG36" s="6" t="s">
        <v>636</v>
      </c>
      <c r="BH36" s="6" t="s">
        <v>1394</v>
      </c>
      <c r="BI36" s="6">
        <v>1</v>
      </c>
      <c r="BJ36" s="6" t="s">
        <v>609</v>
      </c>
      <c r="BK36" s="6">
        <v>0</v>
      </c>
      <c r="BL36" s="6">
        <v>0</v>
      </c>
      <c r="BM36" s="6">
        <v>0</v>
      </c>
      <c r="BN36" s="6">
        <v>1</v>
      </c>
      <c r="BO36" s="6">
        <v>0</v>
      </c>
      <c r="BP36" s="6">
        <v>0</v>
      </c>
      <c r="BQ36" s="6">
        <v>0</v>
      </c>
      <c r="BR36" s="6">
        <v>0</v>
      </c>
    </row>
    <row r="37" spans="1:70" ht="58.8" customHeight="1" x14ac:dyDescent="0.3">
      <c r="A37" s="6">
        <v>1521715</v>
      </c>
      <c r="B37" s="6" t="s">
        <v>26</v>
      </c>
      <c r="C37" s="15" t="s">
        <v>122</v>
      </c>
      <c r="D37" s="6" t="s">
        <v>41</v>
      </c>
      <c r="E37" s="6" t="s">
        <v>15</v>
      </c>
      <c r="F37" s="7">
        <v>42090</v>
      </c>
      <c r="G37" s="7">
        <v>42164</v>
      </c>
      <c r="H37" s="8" t="s">
        <v>111</v>
      </c>
      <c r="I37" s="3" t="s">
        <v>17</v>
      </c>
      <c r="J37" s="3" t="s">
        <v>18</v>
      </c>
      <c r="K37" t="s">
        <v>19</v>
      </c>
      <c r="L37" s="6" t="s">
        <v>696</v>
      </c>
      <c r="M37" s="14" t="s">
        <v>724</v>
      </c>
      <c r="N37" s="6" t="s">
        <v>657</v>
      </c>
      <c r="O37" s="6">
        <v>0</v>
      </c>
      <c r="P37" s="6" t="s">
        <v>709</v>
      </c>
      <c r="Q37" s="35">
        <v>0</v>
      </c>
      <c r="R37" s="35">
        <v>0</v>
      </c>
      <c r="S37" s="35">
        <v>1</v>
      </c>
      <c r="T37" s="35">
        <v>0</v>
      </c>
      <c r="U37" s="35">
        <v>0</v>
      </c>
      <c r="V37" s="35">
        <v>0</v>
      </c>
      <c r="W37" s="35">
        <v>0</v>
      </c>
      <c r="X37" s="6" t="s">
        <v>717</v>
      </c>
      <c r="Y37" s="6">
        <v>1</v>
      </c>
      <c r="Z37" s="6">
        <v>0</v>
      </c>
      <c r="AA37" s="6">
        <v>0</v>
      </c>
      <c r="AB37" s="6">
        <v>1</v>
      </c>
      <c r="AC37" s="6">
        <v>0</v>
      </c>
      <c r="AD37" s="14" t="s">
        <v>21</v>
      </c>
      <c r="AE37" s="13" t="s">
        <v>123</v>
      </c>
      <c r="AF37" s="13" t="s">
        <v>45</v>
      </c>
      <c r="AG37" s="8" t="s">
        <v>1357</v>
      </c>
      <c r="AH37" s="11">
        <v>40987</v>
      </c>
      <c r="AI37" s="10">
        <v>622</v>
      </c>
      <c r="AJ37" s="12">
        <v>50</v>
      </c>
      <c r="AK37" s="12">
        <f t="shared" si="0"/>
        <v>8.0385852090032159</v>
      </c>
      <c r="AL37" s="12" t="str">
        <f t="shared" si="1"/>
        <v>Até 10%</v>
      </c>
      <c r="AM37" s="6" t="s">
        <v>732</v>
      </c>
      <c r="AN37" s="6" t="s">
        <v>1454</v>
      </c>
      <c r="AO37" s="6" t="s">
        <v>699</v>
      </c>
      <c r="AP37" s="6">
        <v>0</v>
      </c>
      <c r="AQ37" s="6" t="s">
        <v>674</v>
      </c>
      <c r="AR37" s="6" t="s">
        <v>1401</v>
      </c>
      <c r="AS37" s="6">
        <v>0</v>
      </c>
      <c r="AT37" s="6">
        <v>0</v>
      </c>
      <c r="AU37" s="6">
        <v>0</v>
      </c>
      <c r="AV37" s="6">
        <v>0</v>
      </c>
      <c r="AW37" s="6" t="s">
        <v>644</v>
      </c>
      <c r="AX37" s="31">
        <v>0</v>
      </c>
      <c r="AY37" s="31">
        <v>0</v>
      </c>
      <c r="AZ37" s="31">
        <v>0</v>
      </c>
      <c r="BA37" s="12">
        <f t="shared" si="2"/>
        <v>0</v>
      </c>
      <c r="BB37" s="31">
        <v>10</v>
      </c>
      <c r="BC37" s="31">
        <v>0</v>
      </c>
      <c r="BD37" s="31">
        <v>0</v>
      </c>
      <c r="BE37" s="31">
        <v>0</v>
      </c>
      <c r="BF37" s="12">
        <f t="shared" si="3"/>
        <v>0</v>
      </c>
      <c r="BG37" s="6">
        <v>0</v>
      </c>
      <c r="BH37" s="6">
        <v>0</v>
      </c>
      <c r="BI37" s="6">
        <v>0</v>
      </c>
      <c r="BJ37" s="6" t="s">
        <v>609</v>
      </c>
      <c r="BK37" s="6">
        <v>0</v>
      </c>
      <c r="BL37" s="6">
        <v>0</v>
      </c>
      <c r="BM37" s="6">
        <v>0</v>
      </c>
      <c r="BN37" s="6">
        <v>1</v>
      </c>
      <c r="BO37" s="6">
        <v>0</v>
      </c>
      <c r="BP37" s="6">
        <v>0</v>
      </c>
      <c r="BQ37" s="6">
        <v>0</v>
      </c>
      <c r="BR37" s="6">
        <v>0</v>
      </c>
    </row>
    <row r="38" spans="1:70" ht="56.4" customHeight="1" x14ac:dyDescent="0.3">
      <c r="A38" s="6">
        <v>678421</v>
      </c>
      <c r="B38" s="6" t="s">
        <v>46</v>
      </c>
      <c r="C38" s="15" t="s">
        <v>124</v>
      </c>
      <c r="D38" s="6" t="s">
        <v>41</v>
      </c>
      <c r="E38" s="6" t="s">
        <v>15</v>
      </c>
      <c r="F38" s="7">
        <v>42088</v>
      </c>
      <c r="G38" s="7">
        <v>42402</v>
      </c>
      <c r="H38" s="8" t="s">
        <v>38</v>
      </c>
      <c r="I38" s="3" t="s">
        <v>17</v>
      </c>
      <c r="J38" s="3" t="s">
        <v>18</v>
      </c>
      <c r="K38" t="s">
        <v>19</v>
      </c>
      <c r="L38" s="6" t="s">
        <v>696</v>
      </c>
      <c r="M38" s="14" t="s">
        <v>626</v>
      </c>
      <c r="N38" s="6" t="s">
        <v>657</v>
      </c>
      <c r="O38" s="6">
        <v>0</v>
      </c>
      <c r="P38" s="6" t="s">
        <v>735</v>
      </c>
      <c r="Q38" s="35">
        <v>1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6" t="s">
        <v>657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14" t="s">
        <v>21</v>
      </c>
      <c r="AE38" s="13" t="s">
        <v>125</v>
      </c>
      <c r="AF38" s="13" t="s">
        <v>45</v>
      </c>
      <c r="AG38" s="8" t="s">
        <v>1357</v>
      </c>
      <c r="AH38" s="11">
        <v>41320</v>
      </c>
      <c r="AI38" s="10">
        <v>678</v>
      </c>
      <c r="AJ38" s="12">
        <v>300</v>
      </c>
      <c r="AK38" s="12">
        <f t="shared" si="0"/>
        <v>44.247787610619469</v>
      </c>
      <c r="AL38" s="12" t="str">
        <f t="shared" si="1"/>
        <v>25% a 50%</v>
      </c>
      <c r="AM38" s="6" t="s">
        <v>618</v>
      </c>
      <c r="AN38" s="6" t="s">
        <v>618</v>
      </c>
      <c r="AO38" s="6" t="s">
        <v>699</v>
      </c>
      <c r="AP38" s="6">
        <v>0</v>
      </c>
      <c r="AQ38" s="6" t="s">
        <v>733</v>
      </c>
      <c r="AR38" s="6" t="s">
        <v>1401</v>
      </c>
      <c r="AS38" s="6">
        <v>1</v>
      </c>
      <c r="AT38" s="6">
        <v>0</v>
      </c>
      <c r="AU38" s="6">
        <v>0</v>
      </c>
      <c r="AV38" s="6">
        <v>0</v>
      </c>
      <c r="AW38" s="6" t="s">
        <v>734</v>
      </c>
      <c r="AX38" s="31">
        <v>0</v>
      </c>
      <c r="AY38" s="31">
        <v>10</v>
      </c>
      <c r="AZ38" s="31">
        <v>0</v>
      </c>
      <c r="BA38" s="12">
        <f t="shared" si="2"/>
        <v>10</v>
      </c>
      <c r="BB38" s="31">
        <v>12</v>
      </c>
      <c r="BC38" s="31">
        <v>0</v>
      </c>
      <c r="BD38" s="31">
        <v>0</v>
      </c>
      <c r="BE38" s="31">
        <v>0</v>
      </c>
      <c r="BF38" s="12">
        <f t="shared" si="3"/>
        <v>0</v>
      </c>
      <c r="BG38" s="6" t="s">
        <v>637</v>
      </c>
      <c r="BH38" s="6" t="s">
        <v>1394</v>
      </c>
      <c r="BI38" s="6">
        <v>0</v>
      </c>
      <c r="BJ38" s="6" t="s">
        <v>609</v>
      </c>
      <c r="BK38" s="6">
        <v>1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</row>
    <row r="39" spans="1:70" ht="68.400000000000006" customHeight="1" x14ac:dyDescent="0.3">
      <c r="A39" s="6">
        <v>674197</v>
      </c>
      <c r="B39" s="6" t="s">
        <v>46</v>
      </c>
      <c r="C39" s="15" t="s">
        <v>126</v>
      </c>
      <c r="D39" s="6" t="s">
        <v>55</v>
      </c>
      <c r="E39" s="6" t="s">
        <v>15</v>
      </c>
      <c r="F39" s="7">
        <v>42081</v>
      </c>
      <c r="G39" s="7">
        <v>42236</v>
      </c>
      <c r="H39" s="8" t="s">
        <v>111</v>
      </c>
      <c r="I39" s="3" t="s">
        <v>48</v>
      </c>
      <c r="J39" s="3" t="s">
        <v>18</v>
      </c>
      <c r="K39" t="s">
        <v>19</v>
      </c>
      <c r="L39" s="6" t="s">
        <v>696</v>
      </c>
      <c r="M39" s="14" t="s">
        <v>626</v>
      </c>
      <c r="N39" s="6" t="s">
        <v>657</v>
      </c>
      <c r="O39" s="6">
        <v>0</v>
      </c>
      <c r="P39" s="6" t="s">
        <v>729</v>
      </c>
      <c r="Q39" s="35">
        <v>0</v>
      </c>
      <c r="R39" s="35">
        <v>0</v>
      </c>
      <c r="S39" s="35">
        <v>0</v>
      </c>
      <c r="T39" s="35">
        <v>1</v>
      </c>
      <c r="U39" s="35">
        <v>0</v>
      </c>
      <c r="V39" s="35">
        <v>0</v>
      </c>
      <c r="W39" s="35">
        <v>0</v>
      </c>
      <c r="X39" s="6" t="s">
        <v>717</v>
      </c>
      <c r="Y39" s="6">
        <v>1</v>
      </c>
      <c r="Z39" s="6">
        <v>0</v>
      </c>
      <c r="AA39" s="6">
        <v>0</v>
      </c>
      <c r="AB39" s="6">
        <v>1</v>
      </c>
      <c r="AC39" s="6">
        <v>0</v>
      </c>
      <c r="AD39" s="14" t="s">
        <v>21</v>
      </c>
      <c r="AE39" s="13" t="s">
        <v>127</v>
      </c>
      <c r="AF39" s="13" t="s">
        <v>736</v>
      </c>
      <c r="AG39" s="8" t="s">
        <v>1348</v>
      </c>
      <c r="AH39" s="11">
        <v>41062</v>
      </c>
      <c r="AI39" s="10">
        <v>622</v>
      </c>
      <c r="AJ39" s="12">
        <v>727</v>
      </c>
      <c r="AK39" s="12">
        <f t="shared" si="0"/>
        <v>116.88102893890675</v>
      </c>
      <c r="AL39" s="12" t="str">
        <f t="shared" si="1"/>
        <v>Acima de 50%</v>
      </c>
      <c r="AM39" s="6" t="s">
        <v>690</v>
      </c>
      <c r="AN39" s="6" t="s">
        <v>1454</v>
      </c>
      <c r="AO39" s="6" t="s">
        <v>701</v>
      </c>
      <c r="AP39" s="6">
        <v>1</v>
      </c>
      <c r="AQ39" s="6" t="s">
        <v>628</v>
      </c>
      <c r="AR39" s="6" t="s">
        <v>1400</v>
      </c>
      <c r="AS39" s="6">
        <v>1</v>
      </c>
      <c r="AT39" s="6">
        <v>0</v>
      </c>
      <c r="AU39" s="6">
        <v>0</v>
      </c>
      <c r="AV39" s="6">
        <v>0</v>
      </c>
      <c r="AW39" s="6" t="s">
        <v>652</v>
      </c>
      <c r="AX39" s="31">
        <v>2</v>
      </c>
      <c r="AY39" s="31">
        <v>0</v>
      </c>
      <c r="AZ39" s="31">
        <v>0</v>
      </c>
      <c r="BA39" s="12">
        <f t="shared" si="2"/>
        <v>24.333333333333332</v>
      </c>
      <c r="BB39" s="31">
        <v>10</v>
      </c>
      <c r="BC39" s="31">
        <v>0</v>
      </c>
      <c r="BD39" s="31">
        <v>0</v>
      </c>
      <c r="BE39" s="31">
        <v>0</v>
      </c>
      <c r="BF39" s="12">
        <f t="shared" si="3"/>
        <v>0</v>
      </c>
      <c r="BG39" s="6" t="s">
        <v>636</v>
      </c>
      <c r="BH39" s="6" t="s">
        <v>1394</v>
      </c>
      <c r="BI39" s="6">
        <v>1</v>
      </c>
      <c r="BJ39" s="6" t="s">
        <v>609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</row>
    <row r="40" spans="1:70" ht="69.599999999999994" customHeight="1" x14ac:dyDescent="0.3">
      <c r="A40" s="6">
        <v>758826</v>
      </c>
      <c r="B40" s="6" t="s">
        <v>46</v>
      </c>
      <c r="C40" s="15" t="s">
        <v>128</v>
      </c>
      <c r="D40" s="6" t="s">
        <v>129</v>
      </c>
      <c r="E40" s="6" t="s">
        <v>15</v>
      </c>
      <c r="F40" s="7">
        <v>42230</v>
      </c>
      <c r="G40" s="7">
        <v>42262</v>
      </c>
      <c r="H40" s="8" t="s">
        <v>111</v>
      </c>
      <c r="I40" s="3" t="s">
        <v>17</v>
      </c>
      <c r="J40" s="3" t="s">
        <v>18</v>
      </c>
      <c r="K40" t="s">
        <v>19</v>
      </c>
      <c r="L40" s="6" t="s">
        <v>696</v>
      </c>
      <c r="M40" s="14" t="s">
        <v>626</v>
      </c>
      <c r="N40" s="6" t="s">
        <v>657</v>
      </c>
      <c r="O40" s="6">
        <v>0</v>
      </c>
      <c r="P40" s="6" t="s">
        <v>698</v>
      </c>
      <c r="Q40" s="35">
        <v>1</v>
      </c>
      <c r="R40" s="35">
        <v>1</v>
      </c>
      <c r="S40" s="35">
        <v>0</v>
      </c>
      <c r="T40" s="35">
        <v>0</v>
      </c>
      <c r="U40" s="35">
        <v>0</v>
      </c>
      <c r="V40" s="35">
        <v>0</v>
      </c>
      <c r="W40" s="35">
        <v>0</v>
      </c>
      <c r="X40" s="6" t="s">
        <v>657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14" t="s">
        <v>21</v>
      </c>
      <c r="AE40" s="13" t="s">
        <v>130</v>
      </c>
      <c r="AF40" s="13" t="s">
        <v>501</v>
      </c>
      <c r="AG40" s="8" t="s">
        <v>1357</v>
      </c>
      <c r="AH40" s="11">
        <v>39756</v>
      </c>
      <c r="AI40" s="10">
        <v>415</v>
      </c>
      <c r="AJ40" s="12">
        <v>220</v>
      </c>
      <c r="AK40" s="12">
        <f t="shared" si="0"/>
        <v>53.01204819277109</v>
      </c>
      <c r="AL40" s="12" t="str">
        <f t="shared" si="1"/>
        <v>Acima de 50%</v>
      </c>
      <c r="AM40" s="6" t="s">
        <v>737</v>
      </c>
      <c r="AN40" s="6" t="s">
        <v>1454</v>
      </c>
      <c r="AO40" s="6" t="s">
        <v>699</v>
      </c>
      <c r="AP40" s="6">
        <v>0</v>
      </c>
      <c r="AQ40" s="6" t="s">
        <v>613</v>
      </c>
      <c r="AR40" s="6" t="s">
        <v>1399</v>
      </c>
      <c r="AS40" s="6">
        <v>1</v>
      </c>
      <c r="AT40" s="6">
        <v>0</v>
      </c>
      <c r="AU40" s="6">
        <v>0</v>
      </c>
      <c r="AV40" s="6">
        <v>0</v>
      </c>
      <c r="AW40" s="6" t="s">
        <v>686</v>
      </c>
      <c r="AX40" s="31">
        <v>1</v>
      </c>
      <c r="AY40" s="31">
        <v>0</v>
      </c>
      <c r="AZ40" s="31">
        <v>0</v>
      </c>
      <c r="BA40" s="12">
        <f t="shared" si="2"/>
        <v>12.166666666666666</v>
      </c>
      <c r="BB40" s="31">
        <v>10</v>
      </c>
      <c r="BC40" s="31">
        <v>0</v>
      </c>
      <c r="BD40" s="31">
        <v>0</v>
      </c>
      <c r="BE40" s="31">
        <v>0</v>
      </c>
      <c r="BF40" s="12">
        <f t="shared" si="3"/>
        <v>0</v>
      </c>
      <c r="BG40" s="6" t="s">
        <v>615</v>
      </c>
      <c r="BH40" s="6">
        <v>0</v>
      </c>
      <c r="BI40" s="6">
        <v>0</v>
      </c>
      <c r="BJ40" s="6" t="s">
        <v>609</v>
      </c>
      <c r="BK40" s="6">
        <v>0</v>
      </c>
      <c r="BL40" s="6">
        <v>1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</row>
    <row r="41" spans="1:70" ht="60.6" customHeight="1" x14ac:dyDescent="0.3">
      <c r="A41" s="6">
        <v>677540</v>
      </c>
      <c r="B41" s="6" t="s">
        <v>13</v>
      </c>
      <c r="C41" s="15" t="s">
        <v>738</v>
      </c>
      <c r="D41" s="6" t="s">
        <v>106</v>
      </c>
      <c r="E41" s="6" t="s">
        <v>15</v>
      </c>
      <c r="F41" s="7">
        <v>42087</v>
      </c>
      <c r="G41" s="7">
        <v>42145</v>
      </c>
      <c r="H41" s="8" t="s">
        <v>101</v>
      </c>
      <c r="I41" s="3" t="s">
        <v>17</v>
      </c>
      <c r="J41" s="3" t="s">
        <v>18</v>
      </c>
      <c r="K41" t="s">
        <v>19</v>
      </c>
      <c r="L41" s="6" t="s">
        <v>695</v>
      </c>
      <c r="M41" s="14" t="s">
        <v>626</v>
      </c>
      <c r="N41" s="6" t="s">
        <v>657</v>
      </c>
      <c r="O41" s="6">
        <v>0</v>
      </c>
      <c r="P41" s="6" t="s">
        <v>713</v>
      </c>
      <c r="Q41" s="35">
        <v>1</v>
      </c>
      <c r="R41" s="35">
        <v>0</v>
      </c>
      <c r="S41" s="35">
        <v>0</v>
      </c>
      <c r="T41" s="35">
        <v>1</v>
      </c>
      <c r="U41" s="35">
        <v>0</v>
      </c>
      <c r="V41" s="35">
        <v>0</v>
      </c>
      <c r="W41" s="35">
        <v>0</v>
      </c>
      <c r="X41" s="6" t="s">
        <v>657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14" t="s">
        <v>43</v>
      </c>
      <c r="AE41" s="3" t="s">
        <v>131</v>
      </c>
      <c r="AF41" s="13" t="s">
        <v>194</v>
      </c>
      <c r="AG41" s="8" t="s">
        <v>194</v>
      </c>
      <c r="AH41" s="11">
        <v>41195</v>
      </c>
      <c r="AI41" s="10">
        <v>622</v>
      </c>
      <c r="AJ41" s="12">
        <v>250</v>
      </c>
      <c r="AK41" s="12">
        <f t="shared" si="0"/>
        <v>40.192926045016073</v>
      </c>
      <c r="AL41" s="12" t="str">
        <f t="shared" si="1"/>
        <v>25% a 50%</v>
      </c>
      <c r="AM41" s="6" t="s">
        <v>740</v>
      </c>
      <c r="AN41" s="6" t="s">
        <v>1454</v>
      </c>
      <c r="AO41" s="6" t="s">
        <v>699</v>
      </c>
      <c r="AP41" s="6">
        <v>0</v>
      </c>
      <c r="AQ41" s="6" t="s">
        <v>739</v>
      </c>
      <c r="AR41" s="6" t="s">
        <v>1401</v>
      </c>
      <c r="AS41" s="6">
        <v>1</v>
      </c>
      <c r="AT41" s="6">
        <v>1</v>
      </c>
      <c r="AU41" s="6">
        <v>0</v>
      </c>
      <c r="AV41" s="6">
        <v>0</v>
      </c>
      <c r="AW41" s="6" t="s">
        <v>741</v>
      </c>
      <c r="AX41" s="31">
        <v>0</v>
      </c>
      <c r="AY41" s="31">
        <v>8</v>
      </c>
      <c r="AZ41" s="31">
        <v>0</v>
      </c>
      <c r="BA41" s="12">
        <f t="shared" si="2"/>
        <v>8</v>
      </c>
      <c r="BB41" s="31">
        <v>10</v>
      </c>
      <c r="BC41" s="31">
        <v>0</v>
      </c>
      <c r="BD41" s="31">
        <v>0</v>
      </c>
      <c r="BE41" s="31">
        <v>0</v>
      </c>
      <c r="BF41" s="12">
        <f t="shared" si="3"/>
        <v>0</v>
      </c>
      <c r="BG41" s="6" t="s">
        <v>636</v>
      </c>
      <c r="BH41" s="6" t="s">
        <v>1394</v>
      </c>
      <c r="BI41" s="6">
        <v>1</v>
      </c>
      <c r="BJ41" s="6" t="s">
        <v>609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</row>
    <row r="42" spans="1:70" ht="51" customHeight="1" x14ac:dyDescent="0.3">
      <c r="A42" s="6">
        <v>583529</v>
      </c>
      <c r="B42" s="6" t="s">
        <v>46</v>
      </c>
      <c r="C42" s="15" t="s">
        <v>132</v>
      </c>
      <c r="D42" s="6" t="s">
        <v>106</v>
      </c>
      <c r="E42" s="6" t="s">
        <v>15</v>
      </c>
      <c r="F42" s="7">
        <v>41904</v>
      </c>
      <c r="G42" s="7">
        <v>42249</v>
      </c>
      <c r="H42" s="8" t="s">
        <v>59</v>
      </c>
      <c r="I42" s="3" t="s">
        <v>17</v>
      </c>
      <c r="J42" s="3" t="s">
        <v>18</v>
      </c>
      <c r="K42" t="s">
        <v>19</v>
      </c>
      <c r="L42" s="6" t="s">
        <v>696</v>
      </c>
      <c r="M42" s="14" t="s">
        <v>1012</v>
      </c>
      <c r="N42" s="6" t="s">
        <v>657</v>
      </c>
      <c r="O42" s="6">
        <v>0</v>
      </c>
      <c r="P42" s="6" t="s">
        <v>698</v>
      </c>
      <c r="Q42" s="35">
        <v>1</v>
      </c>
      <c r="R42" s="35">
        <v>1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  <c r="X42" s="6" t="s">
        <v>657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14" t="s">
        <v>21</v>
      </c>
      <c r="AE42" s="13" t="s">
        <v>133</v>
      </c>
      <c r="AF42" s="13" t="s">
        <v>743</v>
      </c>
      <c r="AG42" s="8" t="s">
        <v>1357</v>
      </c>
      <c r="AH42" s="11">
        <v>40563</v>
      </c>
      <c r="AI42" s="10">
        <v>545</v>
      </c>
      <c r="AJ42" s="12">
        <v>200</v>
      </c>
      <c r="AK42" s="12">
        <f t="shared" si="0"/>
        <v>36.697247706422019</v>
      </c>
      <c r="AL42" s="12" t="str">
        <f t="shared" si="1"/>
        <v>25% a 50%</v>
      </c>
      <c r="AM42" s="6" t="s">
        <v>744</v>
      </c>
      <c r="AN42" s="6" t="s">
        <v>1454</v>
      </c>
      <c r="AO42" s="6" t="s">
        <v>699</v>
      </c>
      <c r="AP42" s="6">
        <v>0</v>
      </c>
      <c r="AQ42" s="6" t="s">
        <v>613</v>
      </c>
      <c r="AR42" s="6" t="s">
        <v>1399</v>
      </c>
      <c r="AS42" s="6">
        <v>1</v>
      </c>
      <c r="AT42" s="6">
        <v>0</v>
      </c>
      <c r="AU42" s="6">
        <v>0</v>
      </c>
      <c r="AV42" s="6">
        <v>0</v>
      </c>
      <c r="AW42" s="6" t="s">
        <v>686</v>
      </c>
      <c r="AX42" s="31">
        <v>1</v>
      </c>
      <c r="AY42" s="31">
        <v>0</v>
      </c>
      <c r="AZ42" s="31">
        <v>0</v>
      </c>
      <c r="BA42" s="12">
        <f t="shared" si="2"/>
        <v>12.166666666666666</v>
      </c>
      <c r="BB42" s="31">
        <v>10</v>
      </c>
      <c r="BC42" s="31">
        <v>0</v>
      </c>
      <c r="BD42" s="31">
        <v>0</v>
      </c>
      <c r="BE42" s="31">
        <v>0</v>
      </c>
      <c r="BF42" s="12">
        <f t="shared" si="3"/>
        <v>0</v>
      </c>
      <c r="BG42" s="6" t="s">
        <v>615</v>
      </c>
      <c r="BH42" s="6">
        <v>0</v>
      </c>
      <c r="BI42" s="6">
        <v>0</v>
      </c>
      <c r="BJ42" s="6" t="s">
        <v>617</v>
      </c>
      <c r="BK42" s="6">
        <v>0</v>
      </c>
      <c r="BL42" s="6">
        <v>1</v>
      </c>
      <c r="BM42" s="6">
        <v>0</v>
      </c>
      <c r="BN42" s="6">
        <v>0</v>
      </c>
      <c r="BO42" s="6" t="s">
        <v>1030</v>
      </c>
      <c r="BP42" s="6" t="s">
        <v>1461</v>
      </c>
      <c r="BQ42" s="6" t="s">
        <v>1459</v>
      </c>
      <c r="BR42" s="6" t="s">
        <v>1461</v>
      </c>
    </row>
    <row r="43" spans="1:70" ht="62.4" customHeight="1" x14ac:dyDescent="0.3">
      <c r="A43" s="6">
        <v>601849</v>
      </c>
      <c r="B43" s="6" t="s">
        <v>13</v>
      </c>
      <c r="C43" s="15" t="s">
        <v>745</v>
      </c>
      <c r="D43" s="6" t="s">
        <v>55</v>
      </c>
      <c r="E43" s="6" t="s">
        <v>15</v>
      </c>
      <c r="F43" s="7">
        <v>41935</v>
      </c>
      <c r="G43" s="7">
        <v>42038</v>
      </c>
      <c r="H43" s="8" t="s">
        <v>94</v>
      </c>
      <c r="I43" s="3" t="s">
        <v>48</v>
      </c>
      <c r="J43" s="3" t="s">
        <v>18</v>
      </c>
      <c r="K43" t="s">
        <v>19</v>
      </c>
      <c r="L43" s="6" t="s">
        <v>695</v>
      </c>
      <c r="M43" s="14" t="s">
        <v>626</v>
      </c>
      <c r="N43" s="6" t="s">
        <v>657</v>
      </c>
      <c r="O43" s="6">
        <v>0</v>
      </c>
      <c r="P43" s="6" t="s">
        <v>729</v>
      </c>
      <c r="Q43" s="35">
        <v>0</v>
      </c>
      <c r="R43" s="35">
        <v>0</v>
      </c>
      <c r="S43" s="35">
        <v>0</v>
      </c>
      <c r="T43" s="35">
        <v>1</v>
      </c>
      <c r="U43" s="35">
        <v>0</v>
      </c>
      <c r="V43" s="35">
        <v>0</v>
      </c>
      <c r="W43" s="35">
        <v>0</v>
      </c>
      <c r="X43" s="6" t="s">
        <v>657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14" t="s">
        <v>43</v>
      </c>
      <c r="AE43" s="13" t="s">
        <v>134</v>
      </c>
      <c r="AF43" s="13" t="s">
        <v>746</v>
      </c>
      <c r="AG43" s="8" t="s">
        <v>1348</v>
      </c>
      <c r="AH43" s="11">
        <v>38841</v>
      </c>
      <c r="AI43" s="10">
        <v>350</v>
      </c>
      <c r="AJ43" s="12">
        <v>96</v>
      </c>
      <c r="AK43" s="12">
        <f t="shared" si="0"/>
        <v>27.428571428571431</v>
      </c>
      <c r="AL43" s="12" t="str">
        <f t="shared" si="1"/>
        <v>25% a 50%</v>
      </c>
      <c r="AM43" s="6" t="s">
        <v>747</v>
      </c>
      <c r="AN43" s="6" t="s">
        <v>1454</v>
      </c>
      <c r="AO43" s="6" t="s">
        <v>699</v>
      </c>
      <c r="AP43" s="6">
        <v>0</v>
      </c>
      <c r="AQ43" s="6" t="s">
        <v>682</v>
      </c>
      <c r="AR43" s="6" t="s">
        <v>1400</v>
      </c>
      <c r="AS43" s="6">
        <v>1</v>
      </c>
      <c r="AT43" s="6">
        <v>0</v>
      </c>
      <c r="AU43" s="6">
        <v>0</v>
      </c>
      <c r="AV43" s="6">
        <v>0</v>
      </c>
      <c r="AW43" s="6" t="s">
        <v>652</v>
      </c>
      <c r="AX43" s="31">
        <v>2</v>
      </c>
      <c r="AY43" s="31">
        <v>0</v>
      </c>
      <c r="AZ43" s="31">
        <v>0</v>
      </c>
      <c r="BA43" s="12">
        <f t="shared" si="2"/>
        <v>24.333333333333332</v>
      </c>
      <c r="BB43" s="31">
        <v>10</v>
      </c>
      <c r="BC43" s="31">
        <v>0</v>
      </c>
      <c r="BD43" s="31">
        <v>0</v>
      </c>
      <c r="BE43" s="31">
        <v>0</v>
      </c>
      <c r="BF43" s="12">
        <f t="shared" si="3"/>
        <v>0</v>
      </c>
      <c r="BG43" s="6" t="s">
        <v>636</v>
      </c>
      <c r="BH43" s="6" t="s">
        <v>1394</v>
      </c>
      <c r="BI43" s="6">
        <v>1</v>
      </c>
      <c r="BJ43" s="6" t="s">
        <v>609</v>
      </c>
      <c r="BK43" s="6">
        <v>0</v>
      </c>
      <c r="BL43" s="6">
        <v>0</v>
      </c>
      <c r="BM43" s="6">
        <v>0</v>
      </c>
      <c r="BN43" s="6">
        <v>1</v>
      </c>
      <c r="BO43" s="6">
        <v>0</v>
      </c>
      <c r="BP43" s="6">
        <v>0</v>
      </c>
      <c r="BQ43" s="6">
        <v>0</v>
      </c>
      <c r="BR43" s="6">
        <v>0</v>
      </c>
    </row>
    <row r="44" spans="1:70" ht="61.8" customHeight="1" x14ac:dyDescent="0.3">
      <c r="A44" s="6">
        <v>682168</v>
      </c>
      <c r="B44" s="6" t="s">
        <v>46</v>
      </c>
      <c r="C44" s="15" t="s">
        <v>135</v>
      </c>
      <c r="D44" s="6" t="s">
        <v>14</v>
      </c>
      <c r="E44" s="6" t="s">
        <v>15</v>
      </c>
      <c r="F44" s="7">
        <v>42101</v>
      </c>
      <c r="G44" s="7">
        <v>42116</v>
      </c>
      <c r="H44" s="8" t="s">
        <v>52</v>
      </c>
      <c r="I44" s="3" t="s">
        <v>48</v>
      </c>
      <c r="J44" s="3" t="s">
        <v>18</v>
      </c>
      <c r="K44" t="s">
        <v>19</v>
      </c>
      <c r="L44" s="6" t="s">
        <v>695</v>
      </c>
      <c r="M44" s="14" t="s">
        <v>626</v>
      </c>
      <c r="N44" s="6" t="s">
        <v>657</v>
      </c>
      <c r="O44" s="6">
        <v>0</v>
      </c>
      <c r="P44" s="6" t="s">
        <v>713</v>
      </c>
      <c r="Q44" s="35">
        <v>1</v>
      </c>
      <c r="R44" s="35">
        <v>0</v>
      </c>
      <c r="S44" s="35">
        <v>0</v>
      </c>
      <c r="T44" s="35">
        <v>1</v>
      </c>
      <c r="U44" s="35">
        <v>0</v>
      </c>
      <c r="V44" s="35">
        <v>0</v>
      </c>
      <c r="W44" s="35">
        <v>0</v>
      </c>
      <c r="X44" s="6" t="s">
        <v>750</v>
      </c>
      <c r="Y44" s="6">
        <v>1</v>
      </c>
      <c r="Z44" s="6">
        <v>0</v>
      </c>
      <c r="AA44" s="6">
        <v>1</v>
      </c>
      <c r="AB44" s="6">
        <v>0</v>
      </c>
      <c r="AC44" s="6">
        <v>1</v>
      </c>
      <c r="AD44" s="14" t="s">
        <v>21</v>
      </c>
      <c r="AE44" s="13" t="s">
        <v>136</v>
      </c>
      <c r="AF44" s="13" t="s">
        <v>23</v>
      </c>
      <c r="AG44" s="8" t="s">
        <v>1357</v>
      </c>
      <c r="AH44" s="11">
        <v>41316</v>
      </c>
      <c r="AI44" s="10">
        <v>678</v>
      </c>
      <c r="AJ44" s="12">
        <v>1500</v>
      </c>
      <c r="AK44" s="12">
        <f t="shared" si="0"/>
        <v>221.23893805309734</v>
      </c>
      <c r="AL44" s="12" t="str">
        <f t="shared" si="1"/>
        <v>Acima de 50%</v>
      </c>
      <c r="AM44" s="6" t="s">
        <v>748</v>
      </c>
      <c r="AN44" s="6" t="s">
        <v>1454</v>
      </c>
      <c r="AO44" s="6" t="s">
        <v>699</v>
      </c>
      <c r="AP44" s="6">
        <v>0</v>
      </c>
      <c r="AQ44" s="6" t="s">
        <v>1411</v>
      </c>
      <c r="AR44" s="6" t="s">
        <v>1400</v>
      </c>
      <c r="AS44" s="6">
        <v>0</v>
      </c>
      <c r="AT44" s="6">
        <v>0</v>
      </c>
      <c r="AU44" s="6">
        <v>1</v>
      </c>
      <c r="AV44" s="6">
        <v>0</v>
      </c>
      <c r="AW44" s="6" t="s">
        <v>749</v>
      </c>
      <c r="AX44" s="31">
        <v>1</v>
      </c>
      <c r="AY44" s="31">
        <v>2</v>
      </c>
      <c r="AZ44" s="31">
        <v>0</v>
      </c>
      <c r="BA44" s="12">
        <f t="shared" si="2"/>
        <v>14.166666666666666</v>
      </c>
      <c r="BB44" s="31">
        <v>15</v>
      </c>
      <c r="BC44" s="31">
        <v>0</v>
      </c>
      <c r="BD44" s="31">
        <v>0</v>
      </c>
      <c r="BE44" s="31">
        <v>0</v>
      </c>
      <c r="BF44" s="12">
        <f t="shared" si="3"/>
        <v>0</v>
      </c>
      <c r="BG44" s="6" t="s">
        <v>636</v>
      </c>
      <c r="BH44" s="6" t="s">
        <v>1394</v>
      </c>
      <c r="BI44" s="6">
        <v>1</v>
      </c>
      <c r="BJ44" s="6" t="s">
        <v>609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</row>
    <row r="45" spans="1:70" ht="70.8" customHeight="1" x14ac:dyDescent="0.3">
      <c r="A45" s="6">
        <v>563041</v>
      </c>
      <c r="B45" s="6" t="s">
        <v>46</v>
      </c>
      <c r="C45" s="15" t="s">
        <v>137</v>
      </c>
      <c r="D45" s="6" t="s">
        <v>55</v>
      </c>
      <c r="E45" s="6" t="s">
        <v>15</v>
      </c>
      <c r="F45" s="7">
        <v>41869</v>
      </c>
      <c r="G45" s="7">
        <v>41934</v>
      </c>
      <c r="H45" s="8" t="s">
        <v>71</v>
      </c>
      <c r="I45" s="3" t="s">
        <v>48</v>
      </c>
      <c r="J45" s="3" t="s">
        <v>18</v>
      </c>
      <c r="K45" t="s">
        <v>19</v>
      </c>
      <c r="L45" s="6" t="s">
        <v>695</v>
      </c>
      <c r="M45" s="14" t="s">
        <v>626</v>
      </c>
      <c r="N45" s="6" t="s">
        <v>657</v>
      </c>
      <c r="O45" s="6">
        <v>0</v>
      </c>
      <c r="P45" s="6" t="s">
        <v>1370</v>
      </c>
      <c r="Q45" s="35">
        <v>1</v>
      </c>
      <c r="R45" s="35">
        <v>0</v>
      </c>
      <c r="S45" s="35">
        <v>1</v>
      </c>
      <c r="T45" s="35">
        <v>1</v>
      </c>
      <c r="U45" s="35">
        <v>0</v>
      </c>
      <c r="V45" s="35">
        <v>0</v>
      </c>
      <c r="W45" s="35">
        <v>0</v>
      </c>
      <c r="X45" s="6" t="s">
        <v>657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14" t="s">
        <v>21</v>
      </c>
      <c r="AE45" s="13" t="s">
        <v>138</v>
      </c>
      <c r="AF45" s="13" t="s">
        <v>69</v>
      </c>
      <c r="AG45" s="8" t="s">
        <v>1357</v>
      </c>
      <c r="AH45" s="11">
        <v>41279</v>
      </c>
      <c r="AI45" s="10">
        <v>678</v>
      </c>
      <c r="AJ45" s="12">
        <v>40</v>
      </c>
      <c r="AK45" s="12">
        <f t="shared" si="0"/>
        <v>5.8997050147492622</v>
      </c>
      <c r="AL45" s="12" t="str">
        <f t="shared" si="1"/>
        <v>Até 10%</v>
      </c>
      <c r="AM45" s="6" t="s">
        <v>751</v>
      </c>
      <c r="AN45" s="6" t="s">
        <v>655</v>
      </c>
      <c r="AO45" s="6" t="s">
        <v>699</v>
      </c>
      <c r="AP45" s="6">
        <v>0</v>
      </c>
      <c r="AQ45" s="6" t="s">
        <v>1410</v>
      </c>
      <c r="AR45" s="6" t="s">
        <v>1401</v>
      </c>
      <c r="AS45" s="6">
        <v>1</v>
      </c>
      <c r="AT45" s="6">
        <v>0</v>
      </c>
      <c r="AU45" s="6">
        <v>1</v>
      </c>
      <c r="AV45" s="6">
        <v>0</v>
      </c>
      <c r="AW45" s="6" t="s">
        <v>752</v>
      </c>
      <c r="AX45" s="31">
        <v>0</v>
      </c>
      <c r="AY45" s="31">
        <v>4</v>
      </c>
      <c r="AZ45" s="31">
        <v>2</v>
      </c>
      <c r="BA45" s="12">
        <f t="shared" si="2"/>
        <v>4.0666666666666664</v>
      </c>
      <c r="BB45" s="31">
        <v>3</v>
      </c>
      <c r="BC45" s="31">
        <v>0</v>
      </c>
      <c r="BD45" s="31">
        <v>0</v>
      </c>
      <c r="BE45" s="31">
        <v>0</v>
      </c>
      <c r="BF45" s="12">
        <f t="shared" si="3"/>
        <v>0</v>
      </c>
      <c r="BG45" s="6" t="s">
        <v>636</v>
      </c>
      <c r="BH45" s="6" t="s">
        <v>1394</v>
      </c>
      <c r="BI45" s="6">
        <v>1</v>
      </c>
      <c r="BJ45" s="6" t="s">
        <v>609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</row>
    <row r="46" spans="1:70" ht="64.8" customHeight="1" x14ac:dyDescent="0.3">
      <c r="A46" s="6">
        <v>301242</v>
      </c>
      <c r="B46" s="6" t="s">
        <v>24</v>
      </c>
      <c r="C46" s="15" t="s">
        <v>139</v>
      </c>
      <c r="D46" s="6" t="s">
        <v>14</v>
      </c>
      <c r="E46" s="6" t="s">
        <v>15</v>
      </c>
      <c r="F46" s="7">
        <v>41863</v>
      </c>
      <c r="G46" s="7">
        <v>42234</v>
      </c>
      <c r="H46" s="8" t="s">
        <v>71</v>
      </c>
      <c r="I46" s="3" t="s">
        <v>48</v>
      </c>
      <c r="J46" s="3" t="s">
        <v>18</v>
      </c>
      <c r="K46" t="s">
        <v>19</v>
      </c>
      <c r="L46" s="6" t="s">
        <v>695</v>
      </c>
      <c r="M46" s="14" t="s">
        <v>35</v>
      </c>
      <c r="N46" s="6" t="s">
        <v>657</v>
      </c>
      <c r="O46" s="6">
        <v>0</v>
      </c>
      <c r="P46" s="6" t="s">
        <v>754</v>
      </c>
      <c r="Q46" s="35">
        <v>0</v>
      </c>
      <c r="R46" s="35">
        <v>0</v>
      </c>
      <c r="S46" s="35">
        <v>1</v>
      </c>
      <c r="T46" s="35">
        <v>1</v>
      </c>
      <c r="U46" s="35">
        <v>0</v>
      </c>
      <c r="V46" s="35">
        <v>0</v>
      </c>
      <c r="W46" s="35">
        <v>0</v>
      </c>
      <c r="X46" s="6" t="s">
        <v>657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14" t="s">
        <v>43</v>
      </c>
      <c r="AE46" s="13" t="s">
        <v>140</v>
      </c>
      <c r="AF46" s="13" t="s">
        <v>755</v>
      </c>
      <c r="AG46" s="8" t="s">
        <v>1357</v>
      </c>
      <c r="AH46" s="11">
        <v>41192</v>
      </c>
      <c r="AI46" s="10">
        <v>622</v>
      </c>
      <c r="AJ46" s="12">
        <v>0</v>
      </c>
      <c r="AK46" s="12">
        <f t="shared" si="0"/>
        <v>0</v>
      </c>
      <c r="AL46" s="12" t="str">
        <f t="shared" si="1"/>
        <v>Não Informado</v>
      </c>
      <c r="AM46" s="6" t="s">
        <v>616</v>
      </c>
      <c r="AN46" s="6" t="s">
        <v>616</v>
      </c>
      <c r="AO46" s="6" t="s">
        <v>699</v>
      </c>
      <c r="AP46" s="6">
        <v>0</v>
      </c>
      <c r="AQ46" s="6" t="s">
        <v>667</v>
      </c>
      <c r="AR46" s="6" t="s">
        <v>1400</v>
      </c>
      <c r="AS46" s="6">
        <v>0</v>
      </c>
      <c r="AT46" s="6">
        <v>0</v>
      </c>
      <c r="AU46" s="6">
        <v>0</v>
      </c>
      <c r="AV46" s="6">
        <v>0</v>
      </c>
      <c r="AW46" s="6" t="s">
        <v>753</v>
      </c>
      <c r="AX46" s="31">
        <v>0</v>
      </c>
      <c r="AY46" s="31">
        <v>10</v>
      </c>
      <c r="AZ46" s="31">
        <v>20</v>
      </c>
      <c r="BA46" s="12">
        <f t="shared" si="2"/>
        <v>10.666666666666666</v>
      </c>
      <c r="BB46" s="31">
        <v>4</v>
      </c>
      <c r="BC46" s="31">
        <v>0</v>
      </c>
      <c r="BD46" s="31">
        <v>0</v>
      </c>
      <c r="BE46" s="31">
        <v>0</v>
      </c>
      <c r="BF46" s="12">
        <f t="shared" si="3"/>
        <v>0</v>
      </c>
      <c r="BG46" s="6" t="s">
        <v>615</v>
      </c>
      <c r="BH46" s="6" t="s">
        <v>1393</v>
      </c>
      <c r="BI46" s="6">
        <v>0</v>
      </c>
      <c r="BJ46" s="6" t="s">
        <v>609</v>
      </c>
      <c r="BK46" s="6">
        <v>0</v>
      </c>
      <c r="BL46" s="6">
        <v>1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</row>
    <row r="47" spans="1:70" ht="61.2" customHeight="1" x14ac:dyDescent="0.3">
      <c r="A47" s="6">
        <v>648930</v>
      </c>
      <c r="B47" s="6" t="s">
        <v>46</v>
      </c>
      <c r="C47" s="15" t="s">
        <v>141</v>
      </c>
      <c r="D47" s="6" t="s">
        <v>64</v>
      </c>
      <c r="E47" s="6" t="s">
        <v>15</v>
      </c>
      <c r="F47" s="7">
        <v>42039</v>
      </c>
      <c r="G47" s="7">
        <v>42101</v>
      </c>
      <c r="H47" s="8" t="s">
        <v>16</v>
      </c>
      <c r="I47" s="3" t="s">
        <v>48</v>
      </c>
      <c r="J47" s="3" t="s">
        <v>18</v>
      </c>
      <c r="K47" t="s">
        <v>19</v>
      </c>
      <c r="L47" s="6" t="s">
        <v>695</v>
      </c>
      <c r="M47" s="14" t="s">
        <v>1009</v>
      </c>
      <c r="N47" s="6" t="s">
        <v>657</v>
      </c>
      <c r="O47" s="6">
        <v>0</v>
      </c>
      <c r="P47" s="6" t="s">
        <v>722</v>
      </c>
      <c r="Q47" s="35">
        <v>1</v>
      </c>
      <c r="R47" s="35">
        <v>0</v>
      </c>
      <c r="S47" s="35">
        <v>1</v>
      </c>
      <c r="T47" s="35">
        <v>1</v>
      </c>
      <c r="U47" s="35">
        <v>0</v>
      </c>
      <c r="V47" s="35">
        <v>0</v>
      </c>
      <c r="W47" s="35">
        <v>0</v>
      </c>
      <c r="X47" s="6" t="s">
        <v>717</v>
      </c>
      <c r="Y47" s="6">
        <v>1</v>
      </c>
      <c r="Z47" s="6">
        <v>0</v>
      </c>
      <c r="AA47" s="6">
        <v>0</v>
      </c>
      <c r="AB47" s="6">
        <v>1</v>
      </c>
      <c r="AC47" s="6">
        <v>0</v>
      </c>
      <c r="AD47" s="14" t="s">
        <v>21</v>
      </c>
      <c r="AE47" s="13" t="s">
        <v>142</v>
      </c>
      <c r="AF47" s="13" t="s">
        <v>66</v>
      </c>
      <c r="AG47" s="8" t="s">
        <v>1357</v>
      </c>
      <c r="AH47" s="11">
        <v>40903</v>
      </c>
      <c r="AI47" s="10">
        <v>545</v>
      </c>
      <c r="AJ47" s="12">
        <v>70</v>
      </c>
      <c r="AK47" s="12">
        <f t="shared" si="0"/>
        <v>12.844036697247708</v>
      </c>
      <c r="AL47" s="12" t="str">
        <f t="shared" si="1"/>
        <v>10% a 25%</v>
      </c>
      <c r="AM47" s="6" t="s">
        <v>756</v>
      </c>
      <c r="AN47" s="6" t="s">
        <v>1454</v>
      </c>
      <c r="AO47" s="6" t="s">
        <v>701</v>
      </c>
      <c r="AP47" s="6">
        <v>1</v>
      </c>
      <c r="AQ47" s="6" t="s">
        <v>625</v>
      </c>
      <c r="AR47" s="6" t="s">
        <v>1400</v>
      </c>
      <c r="AS47" s="6">
        <v>1</v>
      </c>
      <c r="AT47" s="6">
        <v>0</v>
      </c>
      <c r="AU47" s="6">
        <v>0</v>
      </c>
      <c r="AV47" s="6">
        <v>0</v>
      </c>
      <c r="AW47" s="6" t="s">
        <v>652</v>
      </c>
      <c r="AX47" s="31">
        <v>2</v>
      </c>
      <c r="AY47" s="31">
        <v>0</v>
      </c>
      <c r="AZ47" s="31">
        <v>0</v>
      </c>
      <c r="BA47" s="12">
        <f t="shared" si="2"/>
        <v>24.333333333333332</v>
      </c>
      <c r="BB47" s="31">
        <v>10</v>
      </c>
      <c r="BC47" s="31">
        <v>0</v>
      </c>
      <c r="BD47" s="31">
        <v>0</v>
      </c>
      <c r="BE47" s="31">
        <v>0</v>
      </c>
      <c r="BF47" s="12">
        <f t="shared" si="3"/>
        <v>0</v>
      </c>
      <c r="BG47" s="6" t="s">
        <v>615</v>
      </c>
      <c r="BH47" s="6" t="s">
        <v>1393</v>
      </c>
      <c r="BI47" s="6">
        <v>0</v>
      </c>
      <c r="BJ47" s="6" t="s">
        <v>609</v>
      </c>
      <c r="BK47" s="6">
        <v>0</v>
      </c>
      <c r="BL47" s="6">
        <v>1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</row>
    <row r="48" spans="1:70" ht="57.6" customHeight="1" x14ac:dyDescent="0.3">
      <c r="A48" s="6">
        <v>1525013</v>
      </c>
      <c r="B48" s="6" t="s">
        <v>26</v>
      </c>
      <c r="C48" s="15" t="s">
        <v>143</v>
      </c>
      <c r="D48" s="6" t="s">
        <v>64</v>
      </c>
      <c r="E48" s="6" t="s">
        <v>15</v>
      </c>
      <c r="F48" s="7">
        <v>42107</v>
      </c>
      <c r="G48" s="7">
        <v>42124</v>
      </c>
      <c r="H48" s="8" t="s">
        <v>101</v>
      </c>
      <c r="I48" s="3" t="s">
        <v>17</v>
      </c>
      <c r="J48" s="3" t="s">
        <v>18</v>
      </c>
      <c r="K48" t="s">
        <v>19</v>
      </c>
      <c r="L48" s="6" t="s">
        <v>695</v>
      </c>
      <c r="M48" s="14" t="s">
        <v>977</v>
      </c>
      <c r="N48" s="6" t="s">
        <v>703</v>
      </c>
      <c r="O48" s="6">
        <v>1</v>
      </c>
      <c r="P48" s="6" t="s">
        <v>758</v>
      </c>
      <c r="Q48" s="35">
        <v>0</v>
      </c>
      <c r="R48" s="35">
        <v>0</v>
      </c>
      <c r="S48" s="35">
        <v>1</v>
      </c>
      <c r="T48" s="35">
        <v>0</v>
      </c>
      <c r="U48" s="35">
        <v>0</v>
      </c>
      <c r="V48" s="35">
        <v>0</v>
      </c>
      <c r="W48" s="35">
        <v>0</v>
      </c>
      <c r="X48" s="6" t="s">
        <v>761</v>
      </c>
      <c r="Y48" s="6">
        <v>1</v>
      </c>
      <c r="Z48" s="6">
        <v>1</v>
      </c>
      <c r="AA48" s="6">
        <v>0</v>
      </c>
      <c r="AB48" s="6">
        <v>1</v>
      </c>
      <c r="AC48" s="6">
        <v>0</v>
      </c>
      <c r="AD48" s="14" t="s">
        <v>21</v>
      </c>
      <c r="AE48" s="13" t="s">
        <v>144</v>
      </c>
      <c r="AF48" s="13" t="s">
        <v>66</v>
      </c>
      <c r="AG48" s="8" t="s">
        <v>1357</v>
      </c>
      <c r="AH48" s="11">
        <v>41365</v>
      </c>
      <c r="AI48" s="10">
        <v>678</v>
      </c>
      <c r="AJ48" s="12">
        <v>33</v>
      </c>
      <c r="AK48" s="12">
        <f t="shared" si="0"/>
        <v>4.8672566371681416</v>
      </c>
      <c r="AL48" s="12" t="str">
        <f t="shared" si="1"/>
        <v>Até 10%</v>
      </c>
      <c r="AM48" s="6" t="s">
        <v>759</v>
      </c>
      <c r="AN48" s="6" t="s">
        <v>1454</v>
      </c>
      <c r="AO48" s="6" t="s">
        <v>701</v>
      </c>
      <c r="AP48" s="6">
        <v>1</v>
      </c>
      <c r="AQ48" s="6" t="s">
        <v>658</v>
      </c>
      <c r="AR48" s="6" t="s">
        <v>1399</v>
      </c>
      <c r="AS48" s="6">
        <v>0</v>
      </c>
      <c r="AT48" s="6">
        <v>0</v>
      </c>
      <c r="AU48" s="6">
        <v>0</v>
      </c>
      <c r="AV48" s="6">
        <v>0</v>
      </c>
      <c r="AW48" s="6" t="s">
        <v>760</v>
      </c>
      <c r="AX48" s="31">
        <v>0</v>
      </c>
      <c r="AY48" s="31">
        <v>10</v>
      </c>
      <c r="AZ48" s="31">
        <v>20</v>
      </c>
      <c r="BA48" s="12">
        <f t="shared" si="2"/>
        <v>10.666666666666666</v>
      </c>
      <c r="BB48" s="31">
        <v>9</v>
      </c>
      <c r="BC48" s="31">
        <v>0</v>
      </c>
      <c r="BD48" s="31">
        <v>0</v>
      </c>
      <c r="BE48" s="31">
        <v>0</v>
      </c>
      <c r="BF48" s="12">
        <f t="shared" si="3"/>
        <v>0</v>
      </c>
      <c r="BG48" s="6" t="s">
        <v>611</v>
      </c>
      <c r="BH48" s="6" t="s">
        <v>1392</v>
      </c>
      <c r="BI48" s="6">
        <v>0</v>
      </c>
      <c r="BJ48" s="6" t="s">
        <v>609</v>
      </c>
      <c r="BK48" s="6">
        <v>1</v>
      </c>
      <c r="BL48" s="6">
        <v>1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</row>
    <row r="49" spans="1:70" ht="63.6" customHeight="1" x14ac:dyDescent="0.3">
      <c r="A49" s="6">
        <v>327356</v>
      </c>
      <c r="B49" s="6" t="s">
        <v>24</v>
      </c>
      <c r="C49" s="15" t="s">
        <v>145</v>
      </c>
      <c r="D49" s="6" t="s">
        <v>64</v>
      </c>
      <c r="E49" s="6" t="s">
        <v>15</v>
      </c>
      <c r="F49" s="7">
        <v>42173</v>
      </c>
      <c r="G49" s="7">
        <v>42290</v>
      </c>
      <c r="H49" s="8" t="s">
        <v>57</v>
      </c>
      <c r="I49" s="3" t="s">
        <v>48</v>
      </c>
      <c r="J49" s="3" t="s">
        <v>18</v>
      </c>
      <c r="K49" t="s">
        <v>19</v>
      </c>
      <c r="L49" s="6" t="s">
        <v>696</v>
      </c>
      <c r="M49" s="14" t="s">
        <v>35</v>
      </c>
      <c r="N49" s="6" t="s">
        <v>657</v>
      </c>
      <c r="O49" s="6">
        <v>0</v>
      </c>
      <c r="P49" s="6" t="s">
        <v>855</v>
      </c>
      <c r="Q49" s="35">
        <v>0</v>
      </c>
      <c r="R49" s="35">
        <v>0</v>
      </c>
      <c r="S49" s="35">
        <v>1</v>
      </c>
      <c r="T49" s="35">
        <v>1</v>
      </c>
      <c r="U49" s="35">
        <v>0</v>
      </c>
      <c r="V49" s="35">
        <v>0</v>
      </c>
      <c r="W49" s="35">
        <v>0</v>
      </c>
      <c r="X49" s="6" t="s">
        <v>717</v>
      </c>
      <c r="Y49" s="6">
        <v>1</v>
      </c>
      <c r="Z49" s="6">
        <v>0</v>
      </c>
      <c r="AA49" s="6">
        <v>0</v>
      </c>
      <c r="AB49" s="6">
        <v>1</v>
      </c>
      <c r="AC49" s="6">
        <v>0</v>
      </c>
      <c r="AD49" s="14" t="s">
        <v>43</v>
      </c>
      <c r="AE49" s="13" t="s">
        <v>146</v>
      </c>
      <c r="AF49" s="13" t="s">
        <v>66</v>
      </c>
      <c r="AG49" s="8" t="s">
        <v>1357</v>
      </c>
      <c r="AH49" s="11">
        <v>41739</v>
      </c>
      <c r="AI49" s="10">
        <v>724</v>
      </c>
      <c r="AJ49" s="12">
        <v>90</v>
      </c>
      <c r="AK49" s="12">
        <f t="shared" si="0"/>
        <v>12.430939226519337</v>
      </c>
      <c r="AL49" s="12" t="str">
        <f t="shared" si="1"/>
        <v>10% a 25%</v>
      </c>
      <c r="AM49" s="6" t="s">
        <v>762</v>
      </c>
      <c r="AN49" s="6" t="s">
        <v>622</v>
      </c>
      <c r="AO49" s="6" t="s">
        <v>699</v>
      </c>
      <c r="AP49" s="6">
        <v>0</v>
      </c>
      <c r="AQ49" s="6" t="s">
        <v>1412</v>
      </c>
      <c r="AR49" s="6" t="s">
        <v>1400</v>
      </c>
      <c r="AS49" s="6">
        <v>1</v>
      </c>
      <c r="AT49" s="6">
        <v>0</v>
      </c>
      <c r="AU49" s="6">
        <v>0</v>
      </c>
      <c r="AV49" s="6">
        <v>2</v>
      </c>
      <c r="AW49" s="6" t="s">
        <v>652</v>
      </c>
      <c r="AX49" s="31">
        <v>2</v>
      </c>
      <c r="AY49" s="31">
        <v>0</v>
      </c>
      <c r="AZ49" s="31">
        <v>0</v>
      </c>
      <c r="BA49" s="12">
        <f t="shared" si="2"/>
        <v>24.333333333333332</v>
      </c>
      <c r="BB49" s="31">
        <v>10</v>
      </c>
      <c r="BC49" s="31">
        <v>0</v>
      </c>
      <c r="BD49" s="31">
        <v>0</v>
      </c>
      <c r="BE49" s="31">
        <v>0</v>
      </c>
      <c r="BF49" s="12">
        <f t="shared" si="3"/>
        <v>0</v>
      </c>
      <c r="BG49" s="6" t="s">
        <v>615</v>
      </c>
      <c r="BH49" s="6" t="s">
        <v>1393</v>
      </c>
      <c r="BI49" s="6">
        <v>0</v>
      </c>
      <c r="BJ49" s="6" t="s">
        <v>609</v>
      </c>
      <c r="BK49" s="6">
        <v>0</v>
      </c>
      <c r="BL49" s="6">
        <v>0</v>
      </c>
      <c r="BM49" s="6">
        <v>0</v>
      </c>
      <c r="BN49" s="6">
        <v>1</v>
      </c>
      <c r="BO49" s="6">
        <v>0</v>
      </c>
      <c r="BP49" s="6">
        <v>0</v>
      </c>
      <c r="BQ49" s="6">
        <v>0</v>
      </c>
      <c r="BR49" s="6">
        <v>0</v>
      </c>
    </row>
    <row r="50" spans="1:70" ht="58.8" customHeight="1" x14ac:dyDescent="0.3">
      <c r="A50" s="6">
        <v>829764</v>
      </c>
      <c r="B50" s="6" t="s">
        <v>46</v>
      </c>
      <c r="C50" s="15" t="s">
        <v>147</v>
      </c>
      <c r="D50" s="6" t="s">
        <v>148</v>
      </c>
      <c r="E50" s="6" t="s">
        <v>15</v>
      </c>
      <c r="F50" s="7">
        <v>42356</v>
      </c>
      <c r="G50" s="7">
        <v>42415</v>
      </c>
      <c r="H50" s="8" t="s">
        <v>71</v>
      </c>
      <c r="I50" s="3" t="s">
        <v>48</v>
      </c>
      <c r="J50" s="3" t="s">
        <v>18</v>
      </c>
      <c r="K50" t="s">
        <v>19</v>
      </c>
      <c r="L50" s="6" t="s">
        <v>695</v>
      </c>
      <c r="M50" s="14" t="s">
        <v>724</v>
      </c>
      <c r="N50" s="6" t="s">
        <v>657</v>
      </c>
      <c r="O50" s="6">
        <v>0</v>
      </c>
      <c r="P50" s="6" t="s">
        <v>763</v>
      </c>
      <c r="Q50" s="35">
        <v>0</v>
      </c>
      <c r="R50" s="35">
        <v>0</v>
      </c>
      <c r="S50" s="35">
        <v>1</v>
      </c>
      <c r="T50" s="35">
        <v>0</v>
      </c>
      <c r="U50" s="35">
        <v>0</v>
      </c>
      <c r="V50" s="35">
        <v>0</v>
      </c>
      <c r="W50" s="35">
        <v>0</v>
      </c>
      <c r="X50" s="6" t="s">
        <v>717</v>
      </c>
      <c r="Y50" s="6">
        <v>1</v>
      </c>
      <c r="Z50" s="6">
        <v>0</v>
      </c>
      <c r="AA50" s="6">
        <v>0</v>
      </c>
      <c r="AB50" s="6">
        <v>1</v>
      </c>
      <c r="AC50" s="6">
        <v>0</v>
      </c>
      <c r="AD50" s="14" t="s">
        <v>21</v>
      </c>
      <c r="AE50" s="13" t="s">
        <v>149</v>
      </c>
      <c r="AF50" s="13" t="s">
        <v>150</v>
      </c>
      <c r="AG50" s="8" t="s">
        <v>1357</v>
      </c>
      <c r="AH50" s="11">
        <v>41148</v>
      </c>
      <c r="AI50" s="10">
        <v>622</v>
      </c>
      <c r="AJ50" s="12">
        <v>74</v>
      </c>
      <c r="AK50" s="12">
        <f t="shared" si="0"/>
        <v>11.89710610932476</v>
      </c>
      <c r="AL50" s="12" t="str">
        <f t="shared" si="1"/>
        <v>10% a 25%</v>
      </c>
      <c r="AM50" s="6" t="s">
        <v>737</v>
      </c>
      <c r="AN50" s="6" t="s">
        <v>1454</v>
      </c>
      <c r="AO50" s="6" t="s">
        <v>699</v>
      </c>
      <c r="AP50" s="6">
        <v>0</v>
      </c>
      <c r="AQ50" s="6" t="s">
        <v>628</v>
      </c>
      <c r="AR50" s="6" t="s">
        <v>1400</v>
      </c>
      <c r="AS50" s="6">
        <v>1</v>
      </c>
      <c r="AT50" s="6">
        <v>0</v>
      </c>
      <c r="AU50" s="6">
        <v>0</v>
      </c>
      <c r="AV50" s="6">
        <v>0</v>
      </c>
      <c r="AW50" s="6" t="s">
        <v>764</v>
      </c>
      <c r="AX50" s="31">
        <v>4</v>
      </c>
      <c r="AY50" s="31">
        <v>0</v>
      </c>
      <c r="AZ50" s="31">
        <v>0</v>
      </c>
      <c r="BA50" s="12">
        <f t="shared" si="2"/>
        <v>48.666666666666664</v>
      </c>
      <c r="BB50" s="31">
        <v>40</v>
      </c>
      <c r="BC50" s="31">
        <v>0</v>
      </c>
      <c r="BD50" s="31">
        <v>0</v>
      </c>
      <c r="BE50" s="31">
        <v>0</v>
      </c>
      <c r="BF50" s="12">
        <f t="shared" si="3"/>
        <v>0</v>
      </c>
      <c r="BG50" s="6" t="s">
        <v>615</v>
      </c>
      <c r="BH50" s="6" t="s">
        <v>1393</v>
      </c>
      <c r="BI50" s="6">
        <v>0</v>
      </c>
      <c r="BJ50" s="6" t="s">
        <v>609</v>
      </c>
      <c r="BK50" s="6">
        <v>1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</row>
    <row r="51" spans="1:70" ht="62.4" customHeight="1" x14ac:dyDescent="0.3">
      <c r="A51" s="6">
        <v>333458</v>
      </c>
      <c r="B51" s="6" t="s">
        <v>24</v>
      </c>
      <c r="C51" s="15" t="s">
        <v>151</v>
      </c>
      <c r="D51" s="6" t="s">
        <v>14</v>
      </c>
      <c r="E51" s="6" t="s">
        <v>15</v>
      </c>
      <c r="F51" s="7">
        <v>42234</v>
      </c>
      <c r="G51" s="7">
        <v>42339</v>
      </c>
      <c r="H51" s="8" t="s">
        <v>59</v>
      </c>
      <c r="I51" s="3" t="s">
        <v>17</v>
      </c>
      <c r="J51" s="3" t="s">
        <v>18</v>
      </c>
      <c r="K51" t="s">
        <v>19</v>
      </c>
      <c r="L51" s="6" t="s">
        <v>696</v>
      </c>
      <c r="M51" s="14" t="s">
        <v>990</v>
      </c>
      <c r="N51" s="6" t="s">
        <v>703</v>
      </c>
      <c r="O51" s="6">
        <v>1</v>
      </c>
      <c r="P51" s="6" t="s">
        <v>767</v>
      </c>
      <c r="Q51" s="35">
        <v>1</v>
      </c>
      <c r="R51" s="35">
        <v>0</v>
      </c>
      <c r="S51" s="35">
        <v>0</v>
      </c>
      <c r="T51" s="35">
        <v>0</v>
      </c>
      <c r="U51" s="35">
        <v>0</v>
      </c>
      <c r="V51" s="35">
        <v>0</v>
      </c>
      <c r="W51" s="35">
        <v>0</v>
      </c>
      <c r="X51" s="6" t="s">
        <v>766</v>
      </c>
      <c r="Y51" s="6">
        <v>1</v>
      </c>
      <c r="Z51" s="6">
        <v>0</v>
      </c>
      <c r="AA51" s="6">
        <v>0</v>
      </c>
      <c r="AB51" s="6">
        <v>0</v>
      </c>
      <c r="AC51" s="6">
        <v>1</v>
      </c>
      <c r="AD51" s="14" t="s">
        <v>43</v>
      </c>
      <c r="AE51" s="13" t="s">
        <v>152</v>
      </c>
      <c r="AF51" s="13" t="s">
        <v>23</v>
      </c>
      <c r="AG51" s="8" t="s">
        <v>1357</v>
      </c>
      <c r="AH51" s="11">
        <v>41922</v>
      </c>
      <c r="AI51" s="10">
        <v>724</v>
      </c>
      <c r="AJ51" s="12">
        <v>46.84</v>
      </c>
      <c r="AK51" s="12">
        <f t="shared" si="0"/>
        <v>6.4696132596685096</v>
      </c>
      <c r="AL51" s="12" t="str">
        <f t="shared" si="1"/>
        <v>Até 10%</v>
      </c>
      <c r="AM51" s="6" t="s">
        <v>765</v>
      </c>
      <c r="AN51" s="6" t="s">
        <v>616</v>
      </c>
      <c r="AO51" s="6" t="s">
        <v>699</v>
      </c>
      <c r="AP51" s="6">
        <v>0</v>
      </c>
      <c r="AQ51" s="6" t="s">
        <v>613</v>
      </c>
      <c r="AR51" s="6" t="s">
        <v>1399</v>
      </c>
      <c r="AS51" s="6">
        <v>1</v>
      </c>
      <c r="AT51" s="6">
        <v>0</v>
      </c>
      <c r="AU51" s="6">
        <v>0</v>
      </c>
      <c r="AV51" s="6">
        <v>0</v>
      </c>
      <c r="AW51" s="6">
        <v>0</v>
      </c>
      <c r="AX51" s="31">
        <v>0</v>
      </c>
      <c r="AY51" s="31">
        <v>0</v>
      </c>
      <c r="AZ51" s="31">
        <v>0</v>
      </c>
      <c r="BA51" s="12">
        <f t="shared" si="2"/>
        <v>0</v>
      </c>
      <c r="BB51" s="31">
        <v>0</v>
      </c>
      <c r="BC51" s="31">
        <v>0</v>
      </c>
      <c r="BD51" s="31">
        <v>0</v>
      </c>
      <c r="BE51" s="31">
        <v>0</v>
      </c>
      <c r="BF51" s="12">
        <f t="shared" si="3"/>
        <v>0</v>
      </c>
      <c r="BG51" s="6">
        <v>0</v>
      </c>
      <c r="BH51" s="6">
        <v>0</v>
      </c>
      <c r="BI51" s="6">
        <v>0</v>
      </c>
      <c r="BJ51" s="6" t="s">
        <v>620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</row>
    <row r="52" spans="1:70" ht="60.6" customHeight="1" x14ac:dyDescent="0.3">
      <c r="A52" s="6">
        <v>607277</v>
      </c>
      <c r="B52" s="6" t="s">
        <v>46</v>
      </c>
      <c r="C52" s="15" t="s">
        <v>153</v>
      </c>
      <c r="D52" s="6" t="s">
        <v>14</v>
      </c>
      <c r="E52" s="6" t="s">
        <v>15</v>
      </c>
      <c r="F52" s="7">
        <v>41947</v>
      </c>
      <c r="G52" s="7">
        <v>42179</v>
      </c>
      <c r="H52" s="8" t="s">
        <v>118</v>
      </c>
      <c r="I52" s="3" t="s">
        <v>17</v>
      </c>
      <c r="J52" s="3" t="s">
        <v>18</v>
      </c>
      <c r="K52" t="s">
        <v>19</v>
      </c>
      <c r="L52" s="6" t="s">
        <v>696</v>
      </c>
      <c r="M52" s="14" t="s">
        <v>724</v>
      </c>
      <c r="N52" s="6" t="s">
        <v>657</v>
      </c>
      <c r="O52" s="6">
        <v>0</v>
      </c>
      <c r="P52" s="6" t="s">
        <v>763</v>
      </c>
      <c r="Q52" s="35">
        <v>0</v>
      </c>
      <c r="R52" s="35">
        <v>0</v>
      </c>
      <c r="S52" s="35">
        <v>1</v>
      </c>
      <c r="T52" s="35">
        <v>0</v>
      </c>
      <c r="U52" s="35">
        <v>0</v>
      </c>
      <c r="V52" s="35">
        <v>0</v>
      </c>
      <c r="W52" s="35">
        <v>0</v>
      </c>
      <c r="X52" s="6" t="s">
        <v>717</v>
      </c>
      <c r="Y52" s="6">
        <v>1</v>
      </c>
      <c r="Z52" s="6">
        <v>0</v>
      </c>
      <c r="AA52" s="6">
        <v>0</v>
      </c>
      <c r="AB52" s="6">
        <v>1</v>
      </c>
      <c r="AC52" s="6">
        <v>0</v>
      </c>
      <c r="AD52" s="14" t="s">
        <v>21</v>
      </c>
      <c r="AE52" s="13" t="s">
        <v>154</v>
      </c>
      <c r="AF52" s="13" t="s">
        <v>23</v>
      </c>
      <c r="AG52" s="8" t="s">
        <v>1357</v>
      </c>
      <c r="AH52" s="11">
        <v>40849</v>
      </c>
      <c r="AI52" s="10">
        <v>545</v>
      </c>
      <c r="AJ52" s="12">
        <v>150</v>
      </c>
      <c r="AK52" s="12">
        <f t="shared" si="0"/>
        <v>27.522935779816514</v>
      </c>
      <c r="AL52" s="12" t="str">
        <f t="shared" si="1"/>
        <v>25% a 50%</v>
      </c>
      <c r="AM52" s="6" t="s">
        <v>768</v>
      </c>
      <c r="AN52" s="6" t="s">
        <v>1455</v>
      </c>
      <c r="AO52" s="6" t="s">
        <v>699</v>
      </c>
      <c r="AP52" s="6">
        <v>0</v>
      </c>
      <c r="AQ52" s="6" t="s">
        <v>658</v>
      </c>
      <c r="AR52" s="6" t="s">
        <v>1399</v>
      </c>
      <c r="AS52" s="6">
        <v>0</v>
      </c>
      <c r="AT52" s="6">
        <v>0</v>
      </c>
      <c r="AU52" s="6">
        <v>0</v>
      </c>
      <c r="AV52" s="6">
        <v>0</v>
      </c>
      <c r="AW52" s="6" t="s">
        <v>686</v>
      </c>
      <c r="AX52" s="31">
        <v>1</v>
      </c>
      <c r="AY52" s="31">
        <v>0</v>
      </c>
      <c r="AZ52" s="31">
        <v>0</v>
      </c>
      <c r="BA52" s="12">
        <f t="shared" si="2"/>
        <v>12.166666666666666</v>
      </c>
      <c r="BB52" s="31">
        <v>10</v>
      </c>
      <c r="BC52" s="31">
        <v>0</v>
      </c>
      <c r="BD52" s="31">
        <v>0</v>
      </c>
      <c r="BE52" s="31">
        <v>0</v>
      </c>
      <c r="BF52" s="12">
        <f t="shared" si="3"/>
        <v>0</v>
      </c>
      <c r="BG52" s="6" t="s">
        <v>611</v>
      </c>
      <c r="BH52" s="6" t="s">
        <v>1392</v>
      </c>
      <c r="BI52" s="6">
        <v>0</v>
      </c>
      <c r="BJ52" s="6" t="s">
        <v>609</v>
      </c>
      <c r="BK52" s="6">
        <v>1</v>
      </c>
      <c r="BL52" s="6">
        <v>1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</row>
    <row r="53" spans="1:70" ht="63.6" customHeight="1" x14ac:dyDescent="0.3">
      <c r="A53" s="6">
        <v>697529</v>
      </c>
      <c r="B53" s="6" t="s">
        <v>13</v>
      </c>
      <c r="C53" s="15" t="s">
        <v>770</v>
      </c>
      <c r="D53" s="6" t="s">
        <v>64</v>
      </c>
      <c r="E53" s="6" t="s">
        <v>15</v>
      </c>
      <c r="F53" s="7">
        <v>42132</v>
      </c>
      <c r="G53" s="7">
        <v>42278</v>
      </c>
      <c r="H53" s="8" t="s">
        <v>57</v>
      </c>
      <c r="I53" s="3" t="s">
        <v>17</v>
      </c>
      <c r="J53" s="3" t="s">
        <v>18</v>
      </c>
      <c r="K53" t="s">
        <v>19</v>
      </c>
      <c r="L53" s="6" t="s">
        <v>696</v>
      </c>
      <c r="M53" s="14" t="s">
        <v>626</v>
      </c>
      <c r="N53" s="6" t="s">
        <v>657</v>
      </c>
      <c r="O53" s="6">
        <v>0</v>
      </c>
      <c r="P53" s="6" t="s">
        <v>729</v>
      </c>
      <c r="Q53" s="35">
        <v>0</v>
      </c>
      <c r="R53" s="35">
        <v>0</v>
      </c>
      <c r="S53" s="35">
        <v>0</v>
      </c>
      <c r="T53" s="35">
        <v>1</v>
      </c>
      <c r="U53" s="35">
        <v>0</v>
      </c>
      <c r="V53" s="35">
        <v>0</v>
      </c>
      <c r="W53" s="35">
        <v>0</v>
      </c>
      <c r="X53" s="6" t="s">
        <v>657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14" t="s">
        <v>43</v>
      </c>
      <c r="AE53" s="13" t="s">
        <v>155</v>
      </c>
      <c r="AF53" s="13" t="s">
        <v>719</v>
      </c>
      <c r="AG53" s="8" t="s">
        <v>719</v>
      </c>
      <c r="AH53" s="11">
        <v>40979</v>
      </c>
      <c r="AI53" s="10">
        <v>622</v>
      </c>
      <c r="AJ53" s="12">
        <v>60</v>
      </c>
      <c r="AK53" s="12">
        <f t="shared" si="0"/>
        <v>9.6463022508038581</v>
      </c>
      <c r="AL53" s="12" t="str">
        <f t="shared" si="1"/>
        <v>Até 10%</v>
      </c>
      <c r="AM53" s="6" t="s">
        <v>769</v>
      </c>
      <c r="AN53" s="6" t="s">
        <v>1452</v>
      </c>
      <c r="AO53" s="6" t="s">
        <v>699</v>
      </c>
      <c r="AP53" s="6">
        <v>0</v>
      </c>
      <c r="AQ53" s="6" t="s">
        <v>613</v>
      </c>
      <c r="AR53" s="6" t="s">
        <v>1399</v>
      </c>
      <c r="AS53" s="6">
        <v>1</v>
      </c>
      <c r="AT53" s="6">
        <v>0</v>
      </c>
      <c r="AU53" s="6">
        <v>0</v>
      </c>
      <c r="AV53" s="6">
        <v>0</v>
      </c>
      <c r="AW53" s="6">
        <v>0</v>
      </c>
      <c r="AX53" s="31">
        <v>0</v>
      </c>
      <c r="AY53" s="31">
        <v>0</v>
      </c>
      <c r="AZ53" s="31">
        <v>0</v>
      </c>
      <c r="BA53" s="12">
        <f t="shared" si="2"/>
        <v>0</v>
      </c>
      <c r="BB53" s="31">
        <v>0</v>
      </c>
      <c r="BC53" s="31">
        <v>0</v>
      </c>
      <c r="BD53" s="31">
        <v>0</v>
      </c>
      <c r="BE53" s="31">
        <v>0</v>
      </c>
      <c r="BF53" s="12">
        <f t="shared" si="3"/>
        <v>0</v>
      </c>
      <c r="BG53" s="6">
        <v>0</v>
      </c>
      <c r="BH53" s="6">
        <v>0</v>
      </c>
      <c r="BI53" s="6">
        <v>0</v>
      </c>
      <c r="BJ53" s="6" t="s">
        <v>620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</row>
    <row r="54" spans="1:70" ht="78" customHeight="1" x14ac:dyDescent="0.3">
      <c r="A54" s="6">
        <v>628630</v>
      </c>
      <c r="B54" s="6" t="s">
        <v>46</v>
      </c>
      <c r="C54" s="15" t="s">
        <v>156</v>
      </c>
      <c r="D54" s="6" t="s">
        <v>64</v>
      </c>
      <c r="E54" s="6" t="s">
        <v>15</v>
      </c>
      <c r="F54" s="7">
        <v>41988</v>
      </c>
      <c r="G54" s="7">
        <v>42248</v>
      </c>
      <c r="H54" s="8" t="s">
        <v>157</v>
      </c>
      <c r="I54" s="3" t="s">
        <v>48</v>
      </c>
      <c r="J54" s="3" t="s">
        <v>18</v>
      </c>
      <c r="K54" t="s">
        <v>19</v>
      </c>
      <c r="L54" s="6" t="s">
        <v>696</v>
      </c>
      <c r="M54" s="14" t="s">
        <v>626</v>
      </c>
      <c r="N54" s="6" t="s">
        <v>657</v>
      </c>
      <c r="O54" s="6">
        <v>0</v>
      </c>
      <c r="P54" s="6" t="s">
        <v>709</v>
      </c>
      <c r="Q54" s="35">
        <v>0</v>
      </c>
      <c r="R54" s="35">
        <v>0</v>
      </c>
      <c r="S54" s="35">
        <v>1</v>
      </c>
      <c r="T54" s="35">
        <v>0</v>
      </c>
      <c r="U54" s="35">
        <v>0</v>
      </c>
      <c r="V54" s="35">
        <v>0</v>
      </c>
      <c r="W54" s="35">
        <v>0</v>
      </c>
      <c r="X54" s="6" t="s">
        <v>797</v>
      </c>
      <c r="Y54" s="6">
        <v>1</v>
      </c>
      <c r="Z54" s="6">
        <v>1</v>
      </c>
      <c r="AA54" s="6">
        <v>0</v>
      </c>
      <c r="AB54" s="6">
        <v>0</v>
      </c>
      <c r="AC54" s="6">
        <v>0</v>
      </c>
      <c r="AD54" s="14" t="s">
        <v>21</v>
      </c>
      <c r="AE54" s="13" t="s">
        <v>158</v>
      </c>
      <c r="AF54" s="13" t="s">
        <v>66</v>
      </c>
      <c r="AG54" s="8" t="s">
        <v>1357</v>
      </c>
      <c r="AH54" s="11">
        <v>40234</v>
      </c>
      <c r="AI54" s="10">
        <v>510</v>
      </c>
      <c r="AJ54" s="12">
        <v>100</v>
      </c>
      <c r="AK54" s="12">
        <f t="shared" si="0"/>
        <v>19.607843137254903</v>
      </c>
      <c r="AL54" s="12" t="str">
        <f t="shared" si="1"/>
        <v>10% a 25%</v>
      </c>
      <c r="AM54" s="6" t="s">
        <v>771</v>
      </c>
      <c r="AN54" s="6" t="s">
        <v>1454</v>
      </c>
      <c r="AO54" s="6" t="s">
        <v>699</v>
      </c>
      <c r="AP54" s="6">
        <v>0</v>
      </c>
      <c r="AQ54" s="6" t="s">
        <v>667</v>
      </c>
      <c r="AR54" s="6" t="s">
        <v>1400</v>
      </c>
      <c r="AS54" s="6">
        <v>0</v>
      </c>
      <c r="AT54" s="6">
        <v>0</v>
      </c>
      <c r="AU54" s="6">
        <v>0</v>
      </c>
      <c r="AV54" s="6">
        <v>0</v>
      </c>
      <c r="AW54" s="6" t="s">
        <v>772</v>
      </c>
      <c r="AX54" s="31">
        <v>1</v>
      </c>
      <c r="AY54" s="31">
        <v>4</v>
      </c>
      <c r="AZ54" s="31">
        <v>0</v>
      </c>
      <c r="BA54" s="12">
        <f t="shared" si="2"/>
        <v>16.166666666666668</v>
      </c>
      <c r="BB54" s="31">
        <v>6</v>
      </c>
      <c r="BC54" s="31">
        <v>0</v>
      </c>
      <c r="BD54" s="31">
        <v>0</v>
      </c>
      <c r="BE54" s="31">
        <v>0</v>
      </c>
      <c r="BF54" s="12">
        <f t="shared" si="3"/>
        <v>0</v>
      </c>
      <c r="BG54" s="6" t="s">
        <v>637</v>
      </c>
      <c r="BH54" s="6" t="s">
        <v>1394</v>
      </c>
      <c r="BI54" s="6">
        <v>0</v>
      </c>
      <c r="BJ54" s="6" t="s">
        <v>609</v>
      </c>
      <c r="BK54" s="6">
        <v>0</v>
      </c>
      <c r="BL54" s="6">
        <v>0</v>
      </c>
      <c r="BM54" s="6">
        <v>0</v>
      </c>
      <c r="BN54" s="6">
        <v>1</v>
      </c>
      <c r="BO54" s="6">
        <v>0</v>
      </c>
      <c r="BP54" s="6">
        <v>0</v>
      </c>
      <c r="BQ54" s="6">
        <v>0</v>
      </c>
      <c r="BR54" s="6">
        <v>0</v>
      </c>
    </row>
    <row r="55" spans="1:70" ht="57.6" customHeight="1" x14ac:dyDescent="0.3">
      <c r="A55" s="6">
        <v>1483490</v>
      </c>
      <c r="B55" s="6" t="s">
        <v>26</v>
      </c>
      <c r="C55" s="15" t="s">
        <v>159</v>
      </c>
      <c r="D55" s="6" t="s">
        <v>41</v>
      </c>
      <c r="E55" s="6" t="s">
        <v>15</v>
      </c>
      <c r="F55" s="7">
        <v>41908</v>
      </c>
      <c r="G55" s="7">
        <v>42815</v>
      </c>
      <c r="H55" s="8" t="s">
        <v>94</v>
      </c>
      <c r="I55" s="3" t="s">
        <v>48</v>
      </c>
      <c r="J55" s="3" t="s">
        <v>18</v>
      </c>
      <c r="K55" t="s">
        <v>19</v>
      </c>
      <c r="L55" s="6" t="s">
        <v>695</v>
      </c>
      <c r="M55" s="14" t="s">
        <v>1011</v>
      </c>
      <c r="N55" s="6" t="s">
        <v>703</v>
      </c>
      <c r="O55" s="6">
        <v>1</v>
      </c>
      <c r="P55" s="6" t="s">
        <v>1371</v>
      </c>
      <c r="Q55" s="35">
        <v>1</v>
      </c>
      <c r="R55" s="35">
        <v>0</v>
      </c>
      <c r="S55" s="35">
        <v>0</v>
      </c>
      <c r="T55" s="35">
        <v>0</v>
      </c>
      <c r="U55" s="35">
        <v>0</v>
      </c>
      <c r="V55" s="35">
        <v>0</v>
      </c>
      <c r="W55" s="35">
        <v>0</v>
      </c>
      <c r="X55" s="6" t="s">
        <v>657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14" t="s">
        <v>21</v>
      </c>
      <c r="AE55" s="13" t="s">
        <v>160</v>
      </c>
      <c r="AF55" s="13" t="s">
        <v>773</v>
      </c>
      <c r="AG55" s="8" t="s">
        <v>1357</v>
      </c>
      <c r="AH55" s="11">
        <v>41039</v>
      </c>
      <c r="AI55" s="10">
        <v>622</v>
      </c>
      <c r="AJ55" s="12">
        <v>30</v>
      </c>
      <c r="AK55" s="12">
        <f t="shared" si="0"/>
        <v>4.823151125401929</v>
      </c>
      <c r="AL55" s="12" t="str">
        <f t="shared" si="1"/>
        <v>Até 10%</v>
      </c>
      <c r="AM55" s="6" t="s">
        <v>774</v>
      </c>
      <c r="AN55" s="6" t="s">
        <v>1452</v>
      </c>
      <c r="AO55" s="6" t="s">
        <v>701</v>
      </c>
      <c r="AP55" s="6">
        <v>1</v>
      </c>
      <c r="AQ55" s="6" t="s">
        <v>628</v>
      </c>
      <c r="AR55" s="6" t="s">
        <v>1400</v>
      </c>
      <c r="AS55" s="6">
        <v>1</v>
      </c>
      <c r="AT55" s="6">
        <v>0</v>
      </c>
      <c r="AU55" s="6">
        <v>0</v>
      </c>
      <c r="AV55" s="6">
        <v>0</v>
      </c>
      <c r="AW55" s="6" t="s">
        <v>1375</v>
      </c>
      <c r="AX55" s="31">
        <v>2</v>
      </c>
      <c r="AY55" s="31">
        <v>9</v>
      </c>
      <c r="AZ55" s="31">
        <v>0</v>
      </c>
      <c r="BA55" s="12">
        <f t="shared" si="2"/>
        <v>33.333333333333336</v>
      </c>
      <c r="BB55" s="31">
        <v>10</v>
      </c>
      <c r="BC55" s="31">
        <v>0</v>
      </c>
      <c r="BD55" s="31">
        <v>0</v>
      </c>
      <c r="BE55" s="31">
        <v>0</v>
      </c>
      <c r="BF55" s="12">
        <f t="shared" si="3"/>
        <v>0</v>
      </c>
      <c r="BG55" s="6" t="s">
        <v>1374</v>
      </c>
      <c r="BH55" s="6" t="s">
        <v>1393</v>
      </c>
      <c r="BI55" s="6">
        <v>0</v>
      </c>
      <c r="BJ55" s="6" t="s">
        <v>617</v>
      </c>
      <c r="BK55" s="6">
        <v>0</v>
      </c>
      <c r="BL55" s="6">
        <v>1</v>
      </c>
      <c r="BM55" s="6">
        <v>0</v>
      </c>
      <c r="BN55" s="6">
        <v>0</v>
      </c>
      <c r="BO55" s="6" t="s">
        <v>1031</v>
      </c>
      <c r="BP55" s="6" t="s">
        <v>1461</v>
      </c>
      <c r="BQ55" s="6" t="s">
        <v>1459</v>
      </c>
      <c r="BR55" s="6" t="s">
        <v>1459</v>
      </c>
    </row>
    <row r="56" spans="1:70" ht="77.400000000000006" customHeight="1" x14ac:dyDescent="0.3">
      <c r="A56" s="6">
        <v>330970</v>
      </c>
      <c r="B56" s="6" t="s">
        <v>24</v>
      </c>
      <c r="C56" s="15" t="s">
        <v>161</v>
      </c>
      <c r="D56" s="6" t="s">
        <v>14</v>
      </c>
      <c r="E56" s="6" t="s">
        <v>15</v>
      </c>
      <c r="F56" s="7">
        <v>42209</v>
      </c>
      <c r="G56" s="7">
        <v>42423</v>
      </c>
      <c r="H56" s="8" t="s">
        <v>38</v>
      </c>
      <c r="I56" s="3" t="s">
        <v>17</v>
      </c>
      <c r="J56" s="3" t="s">
        <v>18</v>
      </c>
      <c r="K56" t="s">
        <v>19</v>
      </c>
      <c r="L56" s="6" t="s">
        <v>696</v>
      </c>
      <c r="M56" s="14" t="s">
        <v>892</v>
      </c>
      <c r="N56" s="6" t="s">
        <v>703</v>
      </c>
      <c r="O56" s="6">
        <v>1</v>
      </c>
      <c r="P56" s="6" t="s">
        <v>776</v>
      </c>
      <c r="Q56" s="35">
        <v>1</v>
      </c>
      <c r="R56" s="35">
        <v>0</v>
      </c>
      <c r="S56" s="35">
        <v>0</v>
      </c>
      <c r="T56" s="35">
        <v>0</v>
      </c>
      <c r="U56" s="35">
        <v>0</v>
      </c>
      <c r="V56" s="35">
        <v>0</v>
      </c>
      <c r="W56" s="35">
        <v>0</v>
      </c>
      <c r="X56" s="6" t="s">
        <v>657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14" t="s">
        <v>43</v>
      </c>
      <c r="AE56" s="13" t="s">
        <v>162</v>
      </c>
      <c r="AF56" s="13" t="s">
        <v>23</v>
      </c>
      <c r="AG56" s="8" t="s">
        <v>1357</v>
      </c>
      <c r="AH56" s="11">
        <v>40440</v>
      </c>
      <c r="AI56" s="10">
        <v>510</v>
      </c>
      <c r="AJ56" s="12">
        <v>72.63</v>
      </c>
      <c r="AK56" s="12">
        <f t="shared" si="0"/>
        <v>14.241176470588234</v>
      </c>
      <c r="AL56" s="12" t="str">
        <f t="shared" si="1"/>
        <v>10% a 25%</v>
      </c>
      <c r="AM56" s="6" t="s">
        <v>616</v>
      </c>
      <c r="AN56" s="6" t="s">
        <v>616</v>
      </c>
      <c r="AO56" s="6" t="s">
        <v>701</v>
      </c>
      <c r="AP56" s="6">
        <v>1</v>
      </c>
      <c r="AQ56" s="6" t="s">
        <v>777</v>
      </c>
      <c r="AR56" s="6" t="s">
        <v>1401</v>
      </c>
      <c r="AS56" s="6">
        <v>0</v>
      </c>
      <c r="AT56" s="6">
        <v>0</v>
      </c>
      <c r="AU56" s="6">
        <v>0</v>
      </c>
      <c r="AV56" s="6">
        <v>0</v>
      </c>
      <c r="AW56" s="6" t="s">
        <v>775</v>
      </c>
      <c r="AX56" s="31">
        <v>0</v>
      </c>
      <c r="AY56" s="31">
        <v>0</v>
      </c>
      <c r="AZ56" s="31">
        <v>0</v>
      </c>
      <c r="BA56" s="12">
        <f t="shared" si="2"/>
        <v>0</v>
      </c>
      <c r="BB56" s="31">
        <v>5</v>
      </c>
      <c r="BC56" s="31">
        <v>0</v>
      </c>
      <c r="BD56" s="31">
        <v>6</v>
      </c>
      <c r="BE56" s="31">
        <v>0</v>
      </c>
      <c r="BF56" s="12">
        <f t="shared" si="3"/>
        <v>6</v>
      </c>
      <c r="BG56" s="6" t="s">
        <v>636</v>
      </c>
      <c r="BH56" s="6" t="s">
        <v>1394</v>
      </c>
      <c r="BI56" s="6">
        <v>1</v>
      </c>
      <c r="BJ56" s="6" t="s">
        <v>609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</row>
    <row r="57" spans="1:70" ht="67.8" customHeight="1" x14ac:dyDescent="0.3">
      <c r="A57" s="6">
        <v>1519867</v>
      </c>
      <c r="B57" s="6" t="s">
        <v>26</v>
      </c>
      <c r="C57" s="15" t="s">
        <v>163</v>
      </c>
      <c r="D57" s="6" t="s">
        <v>41</v>
      </c>
      <c r="E57" s="6" t="s">
        <v>15</v>
      </c>
      <c r="F57" s="7">
        <v>42081</v>
      </c>
      <c r="G57" s="7">
        <v>42335</v>
      </c>
      <c r="H57" s="8" t="s">
        <v>57</v>
      </c>
      <c r="I57" s="3" t="s">
        <v>48</v>
      </c>
      <c r="J57" s="3" t="s">
        <v>18</v>
      </c>
      <c r="K57" t="s">
        <v>19</v>
      </c>
      <c r="L57" s="6" t="s">
        <v>696</v>
      </c>
      <c r="M57" s="14" t="s">
        <v>724</v>
      </c>
      <c r="N57" s="6" t="s">
        <v>657</v>
      </c>
      <c r="O57" s="6">
        <v>0</v>
      </c>
      <c r="P57" s="6" t="s">
        <v>714</v>
      </c>
      <c r="Q57" s="35">
        <v>1</v>
      </c>
      <c r="R57" s="35">
        <v>0</v>
      </c>
      <c r="S57" s="35">
        <v>0</v>
      </c>
      <c r="T57" s="35">
        <v>0</v>
      </c>
      <c r="U57" s="35">
        <v>0</v>
      </c>
      <c r="V57" s="35">
        <v>0</v>
      </c>
      <c r="W57" s="35">
        <v>0</v>
      </c>
      <c r="X57" s="6" t="s">
        <v>717</v>
      </c>
      <c r="Y57" s="6">
        <v>1</v>
      </c>
      <c r="Z57" s="6">
        <v>0</v>
      </c>
      <c r="AA57" s="6">
        <v>0</v>
      </c>
      <c r="AB57" s="6">
        <v>1</v>
      </c>
      <c r="AC57" s="6">
        <v>0</v>
      </c>
      <c r="AD57" s="14" t="s">
        <v>21</v>
      </c>
      <c r="AE57" s="13" t="s">
        <v>164</v>
      </c>
      <c r="AF57" s="13" t="s">
        <v>45</v>
      </c>
      <c r="AG57" s="8" t="s">
        <v>1357</v>
      </c>
      <c r="AH57" s="11">
        <v>40421</v>
      </c>
      <c r="AI57" s="10">
        <v>510</v>
      </c>
      <c r="AJ57" s="12">
        <v>125</v>
      </c>
      <c r="AK57" s="12">
        <f t="shared" si="0"/>
        <v>24.509803921568626</v>
      </c>
      <c r="AL57" s="12" t="str">
        <f t="shared" si="1"/>
        <v>10% a 25%</v>
      </c>
      <c r="AM57" s="6" t="s">
        <v>778</v>
      </c>
      <c r="AN57" s="6" t="s">
        <v>1454</v>
      </c>
      <c r="AO57" s="6" t="s">
        <v>701</v>
      </c>
      <c r="AP57" s="6">
        <v>1</v>
      </c>
      <c r="AQ57" s="6" t="s">
        <v>628</v>
      </c>
      <c r="AR57" s="6" t="s">
        <v>1400</v>
      </c>
      <c r="AS57" s="6">
        <v>1</v>
      </c>
      <c r="AT57" s="6">
        <v>0</v>
      </c>
      <c r="AU57" s="6">
        <v>0</v>
      </c>
      <c r="AV57" s="6">
        <v>0</v>
      </c>
      <c r="AW57" s="6" t="s">
        <v>1376</v>
      </c>
      <c r="AX57" s="31">
        <v>2</v>
      </c>
      <c r="AY57" s="31">
        <v>4</v>
      </c>
      <c r="AZ57" s="31">
        <v>0</v>
      </c>
      <c r="BA57" s="12">
        <f t="shared" si="2"/>
        <v>28.333333333333332</v>
      </c>
      <c r="BB57" s="31">
        <v>15</v>
      </c>
      <c r="BC57" s="31">
        <v>0</v>
      </c>
      <c r="BD57" s="31">
        <v>0</v>
      </c>
      <c r="BE57" s="31">
        <v>0</v>
      </c>
      <c r="BF57" s="12">
        <f t="shared" si="3"/>
        <v>0</v>
      </c>
      <c r="BG57" s="6" t="s">
        <v>637</v>
      </c>
      <c r="BH57" s="6" t="s">
        <v>1394</v>
      </c>
      <c r="BI57" s="6">
        <v>0</v>
      </c>
      <c r="BJ57" s="6" t="s">
        <v>609</v>
      </c>
      <c r="BK57" s="6">
        <v>1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</row>
    <row r="58" spans="1:70" ht="64.2" customHeight="1" x14ac:dyDescent="0.3">
      <c r="A58" s="6">
        <v>628707</v>
      </c>
      <c r="B58" s="6" t="s">
        <v>46</v>
      </c>
      <c r="C58" s="15" t="s">
        <v>165</v>
      </c>
      <c r="D58" s="6" t="s">
        <v>14</v>
      </c>
      <c r="E58" s="6" t="s">
        <v>15</v>
      </c>
      <c r="F58" s="7">
        <v>41988</v>
      </c>
      <c r="G58" s="7">
        <v>42181</v>
      </c>
      <c r="H58" s="8" t="s">
        <v>157</v>
      </c>
      <c r="I58" s="3" t="s">
        <v>48</v>
      </c>
      <c r="J58" s="3" t="s">
        <v>18</v>
      </c>
      <c r="K58" t="s">
        <v>19</v>
      </c>
      <c r="L58" s="6" t="s">
        <v>696</v>
      </c>
      <c r="M58" s="14" t="s">
        <v>977</v>
      </c>
      <c r="N58" s="6" t="s">
        <v>703</v>
      </c>
      <c r="O58" s="6">
        <v>1</v>
      </c>
      <c r="P58" s="6" t="s">
        <v>781</v>
      </c>
      <c r="Q58" s="35">
        <v>1</v>
      </c>
      <c r="R58" s="35">
        <v>0</v>
      </c>
      <c r="S58" s="35">
        <v>0</v>
      </c>
      <c r="T58" s="35">
        <v>0</v>
      </c>
      <c r="U58" s="35">
        <v>1</v>
      </c>
      <c r="V58" s="35">
        <v>0</v>
      </c>
      <c r="W58" s="35">
        <v>0</v>
      </c>
      <c r="X58" s="6" t="s">
        <v>780</v>
      </c>
      <c r="Y58" s="6">
        <v>1</v>
      </c>
      <c r="Z58" s="6">
        <v>1</v>
      </c>
      <c r="AA58" s="6">
        <v>0</v>
      </c>
      <c r="AB58" s="6">
        <v>0</v>
      </c>
      <c r="AC58" s="6">
        <v>0</v>
      </c>
      <c r="AD58" s="14" t="s">
        <v>21</v>
      </c>
      <c r="AE58" s="13" t="s">
        <v>166</v>
      </c>
      <c r="AF58" s="13" t="s">
        <v>23</v>
      </c>
      <c r="AG58" s="8" t="s">
        <v>1357</v>
      </c>
      <c r="AH58" s="11">
        <v>41216</v>
      </c>
      <c r="AI58" s="10">
        <v>622</v>
      </c>
      <c r="AJ58" s="12">
        <v>52.2</v>
      </c>
      <c r="AK58" s="12">
        <f t="shared" si="0"/>
        <v>8.3922829581993561</v>
      </c>
      <c r="AL58" s="12" t="str">
        <f t="shared" si="1"/>
        <v>Até 10%</v>
      </c>
      <c r="AM58" s="6" t="s">
        <v>779</v>
      </c>
      <c r="AN58" s="6" t="s">
        <v>1453</v>
      </c>
      <c r="AO58" s="6" t="s">
        <v>699</v>
      </c>
      <c r="AP58" s="6">
        <v>0</v>
      </c>
      <c r="AQ58" s="6" t="s">
        <v>777</v>
      </c>
      <c r="AR58" s="6" t="s">
        <v>1401</v>
      </c>
      <c r="AS58" s="6">
        <v>0</v>
      </c>
      <c r="AT58" s="6">
        <v>0</v>
      </c>
      <c r="AU58" s="6">
        <v>0</v>
      </c>
      <c r="AV58" s="6">
        <v>0</v>
      </c>
      <c r="AW58" s="6" t="s">
        <v>686</v>
      </c>
      <c r="AX58" s="31">
        <v>1</v>
      </c>
      <c r="AY58" s="31">
        <v>0</v>
      </c>
      <c r="AZ58" s="31">
        <v>0</v>
      </c>
      <c r="BA58" s="12">
        <f t="shared" si="2"/>
        <v>12.166666666666666</v>
      </c>
      <c r="BB58" s="31">
        <v>10</v>
      </c>
      <c r="BC58" s="31">
        <v>0</v>
      </c>
      <c r="BD58" s="31">
        <v>0</v>
      </c>
      <c r="BE58" s="31">
        <v>0</v>
      </c>
      <c r="BF58" s="12">
        <f t="shared" si="3"/>
        <v>0</v>
      </c>
      <c r="BG58" s="6" t="s">
        <v>636</v>
      </c>
      <c r="BH58" s="6" t="s">
        <v>1394</v>
      </c>
      <c r="BI58" s="6">
        <v>1</v>
      </c>
      <c r="BJ58" s="6" t="s">
        <v>609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</row>
    <row r="59" spans="1:70" ht="68.400000000000006" customHeight="1" x14ac:dyDescent="0.3">
      <c r="A59" s="6">
        <v>347204</v>
      </c>
      <c r="B59" s="6" t="s">
        <v>24</v>
      </c>
      <c r="C59" s="15" t="s">
        <v>167</v>
      </c>
      <c r="D59" s="6" t="s">
        <v>14</v>
      </c>
      <c r="E59" s="6" t="s">
        <v>15</v>
      </c>
      <c r="F59" s="7">
        <v>42384</v>
      </c>
      <c r="G59" s="7">
        <v>42472</v>
      </c>
      <c r="H59" s="8" t="s">
        <v>42</v>
      </c>
      <c r="I59" s="3" t="s">
        <v>17</v>
      </c>
      <c r="J59" s="3" t="s">
        <v>18</v>
      </c>
      <c r="K59" t="s">
        <v>19</v>
      </c>
      <c r="L59" s="6" t="s">
        <v>696</v>
      </c>
      <c r="M59" s="14" t="s">
        <v>35</v>
      </c>
      <c r="N59" s="6" t="s">
        <v>657</v>
      </c>
      <c r="O59" s="6">
        <v>0</v>
      </c>
      <c r="P59" s="6" t="s">
        <v>782</v>
      </c>
      <c r="Q59" s="35">
        <v>0</v>
      </c>
      <c r="R59" s="35">
        <v>0</v>
      </c>
      <c r="S59" s="35">
        <v>1</v>
      </c>
      <c r="T59" s="35">
        <v>0</v>
      </c>
      <c r="U59" s="35">
        <v>0</v>
      </c>
      <c r="V59" s="35">
        <v>0</v>
      </c>
      <c r="W59" s="35">
        <v>0</v>
      </c>
      <c r="X59" s="6" t="s">
        <v>783</v>
      </c>
      <c r="Y59" s="6">
        <v>1</v>
      </c>
      <c r="Z59" s="6">
        <v>1</v>
      </c>
      <c r="AA59" s="6">
        <v>1</v>
      </c>
      <c r="AB59" s="6">
        <v>0</v>
      </c>
      <c r="AC59" s="6">
        <v>0</v>
      </c>
      <c r="AD59" s="16" t="s">
        <v>43</v>
      </c>
      <c r="AE59" s="8" t="s">
        <v>168</v>
      </c>
      <c r="AF59" s="18" t="s">
        <v>23</v>
      </c>
      <c r="AG59" s="8" t="s">
        <v>1357</v>
      </c>
      <c r="AH59" s="11">
        <v>41217</v>
      </c>
      <c r="AI59" s="10">
        <v>622</v>
      </c>
      <c r="AJ59" s="12">
        <v>84.96</v>
      </c>
      <c r="AK59" s="12">
        <f t="shared" si="0"/>
        <v>13.659163987138262</v>
      </c>
      <c r="AL59" s="12" t="str">
        <f t="shared" si="1"/>
        <v>10% a 25%</v>
      </c>
      <c r="AM59" s="6" t="s">
        <v>616</v>
      </c>
      <c r="AN59" s="6" t="s">
        <v>616</v>
      </c>
      <c r="AO59" s="6" t="s">
        <v>699</v>
      </c>
      <c r="AP59" s="6">
        <v>0</v>
      </c>
      <c r="AQ59" s="6" t="s">
        <v>613</v>
      </c>
      <c r="AR59" s="6" t="s">
        <v>1399</v>
      </c>
      <c r="AS59" s="6">
        <v>1</v>
      </c>
      <c r="AT59" s="6">
        <v>0</v>
      </c>
      <c r="AU59" s="6">
        <v>0</v>
      </c>
      <c r="AV59" s="6">
        <v>0</v>
      </c>
      <c r="AW59" s="6">
        <v>0</v>
      </c>
      <c r="AX59" s="31">
        <v>0</v>
      </c>
      <c r="AY59" s="31">
        <v>0</v>
      </c>
      <c r="AZ59" s="31">
        <v>0</v>
      </c>
      <c r="BA59" s="12">
        <f t="shared" si="2"/>
        <v>0</v>
      </c>
      <c r="BB59" s="31">
        <v>0</v>
      </c>
      <c r="BC59" s="31">
        <v>0</v>
      </c>
      <c r="BD59" s="31">
        <v>0</v>
      </c>
      <c r="BE59" s="31">
        <v>0</v>
      </c>
      <c r="BF59" s="12">
        <f t="shared" si="3"/>
        <v>0</v>
      </c>
      <c r="BG59" s="6">
        <v>0</v>
      </c>
      <c r="BH59" s="6">
        <v>0</v>
      </c>
      <c r="BI59" s="6">
        <v>0</v>
      </c>
      <c r="BJ59" s="6" t="s">
        <v>620</v>
      </c>
      <c r="BK59" s="6">
        <v>1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</row>
    <row r="60" spans="1:70" ht="59.4" customHeight="1" x14ac:dyDescent="0.3">
      <c r="A60" s="6">
        <v>364141</v>
      </c>
      <c r="B60" s="6" t="s">
        <v>24</v>
      </c>
      <c r="C60" s="15" t="s">
        <v>169</v>
      </c>
      <c r="D60" s="6" t="s">
        <v>14</v>
      </c>
      <c r="E60" s="6" t="s">
        <v>15</v>
      </c>
      <c r="F60" s="7">
        <v>42560</v>
      </c>
      <c r="G60" s="7">
        <v>42677</v>
      </c>
      <c r="H60" s="8" t="s">
        <v>59</v>
      </c>
      <c r="I60" s="3" t="s">
        <v>48</v>
      </c>
      <c r="J60" s="3" t="s">
        <v>18</v>
      </c>
      <c r="K60" t="s">
        <v>19</v>
      </c>
      <c r="L60" s="6" t="s">
        <v>696</v>
      </c>
      <c r="M60" s="14" t="s">
        <v>35</v>
      </c>
      <c r="N60" s="6" t="s">
        <v>657</v>
      </c>
      <c r="O60" s="6">
        <v>0</v>
      </c>
      <c r="P60" s="6" t="s">
        <v>707</v>
      </c>
      <c r="Q60" s="35">
        <v>0</v>
      </c>
      <c r="R60" s="35">
        <v>1</v>
      </c>
      <c r="S60" s="35">
        <v>0</v>
      </c>
      <c r="T60" s="35">
        <v>0</v>
      </c>
      <c r="U60" s="35">
        <v>0</v>
      </c>
      <c r="V60" s="35">
        <v>0</v>
      </c>
      <c r="W60" s="35">
        <v>0</v>
      </c>
      <c r="X60" s="6" t="s">
        <v>657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14" t="s">
        <v>21</v>
      </c>
      <c r="AE60" s="13" t="s">
        <v>170</v>
      </c>
      <c r="AF60" s="18" t="s">
        <v>23</v>
      </c>
      <c r="AG60" s="8" t="s">
        <v>1357</v>
      </c>
      <c r="AH60" s="11">
        <v>41945</v>
      </c>
      <c r="AI60" s="10">
        <v>724</v>
      </c>
      <c r="AJ60" s="12">
        <v>520</v>
      </c>
      <c r="AK60" s="12">
        <f t="shared" si="0"/>
        <v>71.823204419889507</v>
      </c>
      <c r="AL60" s="12" t="str">
        <f t="shared" si="1"/>
        <v>Acima de 50%</v>
      </c>
      <c r="AM60" s="6" t="s">
        <v>737</v>
      </c>
      <c r="AN60" s="6" t="s">
        <v>1454</v>
      </c>
      <c r="AO60" s="6" t="s">
        <v>699</v>
      </c>
      <c r="AP60" s="6">
        <v>0</v>
      </c>
      <c r="AQ60" s="6" t="s">
        <v>667</v>
      </c>
      <c r="AR60" s="6" t="s">
        <v>1400</v>
      </c>
      <c r="AS60" s="6">
        <v>0</v>
      </c>
      <c r="AT60" s="6">
        <v>0</v>
      </c>
      <c r="AU60" s="6">
        <v>0</v>
      </c>
      <c r="AV60" s="6">
        <v>0</v>
      </c>
      <c r="AW60" s="6" t="s">
        <v>784</v>
      </c>
      <c r="AX60" s="31">
        <v>0</v>
      </c>
      <c r="AY60" s="31">
        <v>10</v>
      </c>
      <c r="AZ60" s="31">
        <v>26</v>
      </c>
      <c r="BA60" s="12">
        <f t="shared" si="2"/>
        <v>10.866666666666667</v>
      </c>
      <c r="BB60" s="31">
        <v>4</v>
      </c>
      <c r="BC60" s="31">
        <v>0</v>
      </c>
      <c r="BD60" s="31">
        <v>0</v>
      </c>
      <c r="BE60" s="31">
        <v>0</v>
      </c>
      <c r="BF60" s="12">
        <f t="shared" si="3"/>
        <v>0</v>
      </c>
      <c r="BG60" s="6" t="s">
        <v>611</v>
      </c>
      <c r="BH60" s="6" t="s">
        <v>1392</v>
      </c>
      <c r="BI60" s="6">
        <v>0</v>
      </c>
      <c r="BJ60" s="6" t="s">
        <v>609</v>
      </c>
      <c r="BK60" s="6">
        <v>1</v>
      </c>
      <c r="BL60" s="6">
        <v>1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</row>
    <row r="61" spans="1:70" ht="69.599999999999994" customHeight="1" x14ac:dyDescent="0.3">
      <c r="A61" s="6">
        <v>1485387</v>
      </c>
      <c r="B61" s="6" t="s">
        <v>26</v>
      </c>
      <c r="C61" s="28" t="s">
        <v>1305</v>
      </c>
      <c r="D61" s="6" t="s">
        <v>64</v>
      </c>
      <c r="E61" s="6" t="s">
        <v>15</v>
      </c>
      <c r="F61" s="7">
        <v>42110</v>
      </c>
      <c r="G61" s="7">
        <v>42144</v>
      </c>
      <c r="H61" s="8" t="s">
        <v>71</v>
      </c>
      <c r="I61" s="3" t="s">
        <v>48</v>
      </c>
      <c r="J61" s="3" t="s">
        <v>18</v>
      </c>
      <c r="K61" t="s">
        <v>19</v>
      </c>
      <c r="L61" s="6" t="s">
        <v>695</v>
      </c>
      <c r="M61" s="14" t="s">
        <v>987</v>
      </c>
      <c r="N61" s="23" t="s">
        <v>657</v>
      </c>
      <c r="O61" s="23">
        <v>0</v>
      </c>
      <c r="P61" s="6" t="s">
        <v>1355</v>
      </c>
      <c r="Q61" s="35">
        <v>0</v>
      </c>
      <c r="R61" s="35">
        <v>1</v>
      </c>
      <c r="S61" s="35">
        <v>0</v>
      </c>
      <c r="T61" s="35">
        <v>0</v>
      </c>
      <c r="U61" s="35">
        <v>0</v>
      </c>
      <c r="V61" s="35">
        <v>0</v>
      </c>
      <c r="W61" s="35">
        <v>0</v>
      </c>
      <c r="X61" s="6" t="s">
        <v>780</v>
      </c>
      <c r="Y61" s="6">
        <v>1</v>
      </c>
      <c r="Z61" s="6">
        <v>1</v>
      </c>
      <c r="AA61" s="6">
        <v>0</v>
      </c>
      <c r="AB61" s="6">
        <v>0</v>
      </c>
      <c r="AC61" s="6">
        <v>0</v>
      </c>
      <c r="AD61" s="14" t="s">
        <v>21</v>
      </c>
      <c r="AE61" s="13" t="s">
        <v>171</v>
      </c>
      <c r="AF61" s="13" t="s">
        <v>66</v>
      </c>
      <c r="AG61" s="8" t="s">
        <v>1357</v>
      </c>
      <c r="AH61" s="26">
        <v>40355</v>
      </c>
      <c r="AI61" s="10">
        <v>510</v>
      </c>
      <c r="AJ61" s="12">
        <v>250</v>
      </c>
      <c r="AK61" s="12">
        <f t="shared" si="0"/>
        <v>49.019607843137251</v>
      </c>
      <c r="AL61" s="12" t="str">
        <f t="shared" si="1"/>
        <v>25% a 50%</v>
      </c>
      <c r="AM61" s="6" t="s">
        <v>618</v>
      </c>
      <c r="AN61" s="6" t="s">
        <v>618</v>
      </c>
      <c r="AO61" s="6" t="s">
        <v>699</v>
      </c>
      <c r="AP61" s="6">
        <v>0</v>
      </c>
      <c r="AQ61" s="6" t="s">
        <v>1306</v>
      </c>
      <c r="AR61" s="6" t="s">
        <v>1401</v>
      </c>
      <c r="AS61" s="6">
        <v>1</v>
      </c>
      <c r="AT61" s="6">
        <v>0</v>
      </c>
      <c r="AU61" s="6">
        <v>0</v>
      </c>
      <c r="AV61" s="6">
        <v>0</v>
      </c>
      <c r="AW61" s="6" t="s">
        <v>1307</v>
      </c>
      <c r="AX61" s="31">
        <v>0</v>
      </c>
      <c r="AY61" s="31">
        <v>0</v>
      </c>
      <c r="AZ61" s="31">
        <v>0</v>
      </c>
      <c r="BA61" s="12">
        <f t="shared" si="2"/>
        <v>0</v>
      </c>
      <c r="BB61" s="31">
        <v>6</v>
      </c>
      <c r="BC61" s="31">
        <v>0</v>
      </c>
      <c r="BD61" s="31">
        <v>7</v>
      </c>
      <c r="BE61" s="31">
        <v>0</v>
      </c>
      <c r="BF61" s="12">
        <f t="shared" si="3"/>
        <v>7</v>
      </c>
      <c r="BG61" s="6" t="s">
        <v>637</v>
      </c>
      <c r="BH61" s="6" t="s">
        <v>1394</v>
      </c>
      <c r="BI61" s="6">
        <v>0</v>
      </c>
      <c r="BJ61" s="6" t="s">
        <v>609</v>
      </c>
      <c r="BK61" s="6">
        <v>1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</row>
    <row r="62" spans="1:70" ht="68.400000000000006" customHeight="1" x14ac:dyDescent="0.3">
      <c r="A62" s="6">
        <v>648158</v>
      </c>
      <c r="B62" s="6" t="s">
        <v>46</v>
      </c>
      <c r="C62" s="15" t="s">
        <v>172</v>
      </c>
      <c r="D62" s="6" t="s">
        <v>64</v>
      </c>
      <c r="E62" s="6" t="s">
        <v>15</v>
      </c>
      <c r="F62" s="7">
        <v>42038</v>
      </c>
      <c r="G62" s="7">
        <v>42268</v>
      </c>
      <c r="H62" s="8" t="s">
        <v>111</v>
      </c>
      <c r="I62" s="3" t="s">
        <v>17</v>
      </c>
      <c r="J62" s="3" t="s">
        <v>18</v>
      </c>
      <c r="K62" t="s">
        <v>19</v>
      </c>
      <c r="L62" s="6" t="s">
        <v>696</v>
      </c>
      <c r="M62" s="14" t="s">
        <v>626</v>
      </c>
      <c r="N62" s="6" t="s">
        <v>657</v>
      </c>
      <c r="O62" s="6">
        <v>0</v>
      </c>
      <c r="P62" s="6" t="s">
        <v>729</v>
      </c>
      <c r="Q62" s="35">
        <v>0</v>
      </c>
      <c r="R62" s="35">
        <v>0</v>
      </c>
      <c r="S62" s="35">
        <v>0</v>
      </c>
      <c r="T62" s="35">
        <v>1</v>
      </c>
      <c r="U62" s="35">
        <v>0</v>
      </c>
      <c r="V62" s="35">
        <v>0</v>
      </c>
      <c r="W62" s="35">
        <v>0</v>
      </c>
      <c r="X62" s="6" t="s">
        <v>657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14" t="s">
        <v>21</v>
      </c>
      <c r="AE62" s="13" t="s">
        <v>173</v>
      </c>
      <c r="AF62" s="13" t="s">
        <v>66</v>
      </c>
      <c r="AG62" s="8" t="s">
        <v>1357</v>
      </c>
      <c r="AH62" s="11">
        <v>40390</v>
      </c>
      <c r="AI62" s="10">
        <v>510</v>
      </c>
      <c r="AJ62" s="12">
        <v>40</v>
      </c>
      <c r="AK62" s="12">
        <f t="shared" si="0"/>
        <v>7.8431372549019605</v>
      </c>
      <c r="AL62" s="12" t="str">
        <f t="shared" si="1"/>
        <v>Até 10%</v>
      </c>
      <c r="AM62" s="6" t="s">
        <v>786</v>
      </c>
      <c r="AN62" s="6" t="s">
        <v>1455</v>
      </c>
      <c r="AO62" s="6" t="s">
        <v>701</v>
      </c>
      <c r="AP62" s="6">
        <v>1</v>
      </c>
      <c r="AQ62" s="6" t="s">
        <v>1413</v>
      </c>
      <c r="AR62" s="6" t="s">
        <v>1401</v>
      </c>
      <c r="AS62" s="6">
        <v>1</v>
      </c>
      <c r="AT62" s="6">
        <v>0</v>
      </c>
      <c r="AU62" s="6">
        <v>0</v>
      </c>
      <c r="AV62" s="6">
        <v>2</v>
      </c>
      <c r="AW62" s="6" t="s">
        <v>787</v>
      </c>
      <c r="AX62" s="31">
        <v>0</v>
      </c>
      <c r="AY62" s="31">
        <v>9</v>
      </c>
      <c r="AZ62" s="31">
        <v>10</v>
      </c>
      <c r="BA62" s="12">
        <f t="shared" si="2"/>
        <v>9.3333333333333339</v>
      </c>
      <c r="BB62" s="31">
        <v>8</v>
      </c>
      <c r="BC62" s="31">
        <v>0</v>
      </c>
      <c r="BD62" s="31">
        <v>5</v>
      </c>
      <c r="BE62" s="31">
        <v>0</v>
      </c>
      <c r="BF62" s="12">
        <f t="shared" si="3"/>
        <v>5</v>
      </c>
      <c r="BG62" s="6" t="s">
        <v>788</v>
      </c>
      <c r="BH62" s="6" t="s">
        <v>1394</v>
      </c>
      <c r="BI62" s="6">
        <v>0</v>
      </c>
      <c r="BJ62" s="6" t="s">
        <v>609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</row>
    <row r="63" spans="1:70" ht="64.8" customHeight="1" x14ac:dyDescent="0.3">
      <c r="A63" s="6">
        <v>691573</v>
      </c>
      <c r="B63" s="6" t="s">
        <v>46</v>
      </c>
      <c r="C63" s="15" t="s">
        <v>174</v>
      </c>
      <c r="D63" s="6" t="s">
        <v>47</v>
      </c>
      <c r="E63" s="6" t="s">
        <v>15</v>
      </c>
      <c r="F63" s="7">
        <v>42121</v>
      </c>
      <c r="G63" s="7">
        <v>42144</v>
      </c>
      <c r="H63" s="8" t="s">
        <v>71</v>
      </c>
      <c r="I63" s="3" t="s">
        <v>48</v>
      </c>
      <c r="J63" s="3" t="s">
        <v>18</v>
      </c>
      <c r="K63" t="s">
        <v>19</v>
      </c>
      <c r="L63" s="6" t="s">
        <v>695</v>
      </c>
      <c r="M63" s="14" t="s">
        <v>1010</v>
      </c>
      <c r="N63" s="6" t="s">
        <v>657</v>
      </c>
      <c r="O63" s="6">
        <v>0</v>
      </c>
      <c r="P63" s="6" t="s">
        <v>763</v>
      </c>
      <c r="Q63" s="35">
        <v>0</v>
      </c>
      <c r="R63" s="35">
        <v>0</v>
      </c>
      <c r="S63" s="35">
        <v>1</v>
      </c>
      <c r="T63" s="35">
        <v>0</v>
      </c>
      <c r="U63" s="35">
        <v>0</v>
      </c>
      <c r="V63" s="35">
        <v>0</v>
      </c>
      <c r="W63" s="35">
        <v>0</v>
      </c>
      <c r="X63" s="6" t="s">
        <v>717</v>
      </c>
      <c r="Y63" s="6">
        <v>1</v>
      </c>
      <c r="Z63" s="6">
        <v>0</v>
      </c>
      <c r="AA63" s="6">
        <v>0</v>
      </c>
      <c r="AB63" s="6">
        <v>1</v>
      </c>
      <c r="AC63" s="6">
        <v>0</v>
      </c>
      <c r="AD63" s="14" t="s">
        <v>21</v>
      </c>
      <c r="AE63" s="13" t="s">
        <v>175</v>
      </c>
      <c r="AF63" s="13" t="s">
        <v>92</v>
      </c>
      <c r="AG63" s="8" t="s">
        <v>1357</v>
      </c>
      <c r="AH63" s="11">
        <v>40164</v>
      </c>
      <c r="AI63" s="10">
        <v>265</v>
      </c>
      <c r="AJ63" s="12">
        <v>44.4</v>
      </c>
      <c r="AK63" s="12">
        <f t="shared" si="0"/>
        <v>16.754716981132077</v>
      </c>
      <c r="AL63" s="12" t="str">
        <f t="shared" si="1"/>
        <v>10% a 25%</v>
      </c>
      <c r="AM63" s="6" t="s">
        <v>789</v>
      </c>
      <c r="AN63" s="6" t="s">
        <v>616</v>
      </c>
      <c r="AO63" s="6" t="s">
        <v>610</v>
      </c>
      <c r="AP63" s="6">
        <v>1</v>
      </c>
      <c r="AQ63" s="6" t="s">
        <v>625</v>
      </c>
      <c r="AR63" s="6" t="s">
        <v>1400</v>
      </c>
      <c r="AS63" s="6">
        <v>1</v>
      </c>
      <c r="AT63" s="6">
        <v>0</v>
      </c>
      <c r="AU63" s="6">
        <v>0</v>
      </c>
      <c r="AV63" s="6">
        <v>0</v>
      </c>
      <c r="AW63" s="6" t="s">
        <v>652</v>
      </c>
      <c r="AX63" s="31">
        <v>2</v>
      </c>
      <c r="AY63" s="31">
        <v>0</v>
      </c>
      <c r="AZ63" s="31">
        <v>0</v>
      </c>
      <c r="BA63" s="12">
        <f t="shared" si="2"/>
        <v>24.333333333333332</v>
      </c>
      <c r="BB63" s="31">
        <v>10</v>
      </c>
      <c r="BC63" s="31">
        <v>0</v>
      </c>
      <c r="BD63" s="31">
        <v>0</v>
      </c>
      <c r="BE63" s="31">
        <v>0</v>
      </c>
      <c r="BF63" s="12">
        <f t="shared" si="3"/>
        <v>0</v>
      </c>
      <c r="BG63" s="6" t="s">
        <v>636</v>
      </c>
      <c r="BH63" s="6" t="s">
        <v>1394</v>
      </c>
      <c r="BI63" s="6">
        <v>1</v>
      </c>
      <c r="BJ63" s="6" t="s">
        <v>609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</row>
    <row r="64" spans="1:70" ht="64.8" customHeight="1" x14ac:dyDescent="0.3">
      <c r="A64" s="6">
        <v>717588</v>
      </c>
      <c r="B64" s="6" t="s">
        <v>46</v>
      </c>
      <c r="C64" s="15" t="s">
        <v>176</v>
      </c>
      <c r="D64" s="6" t="s">
        <v>55</v>
      </c>
      <c r="E64" s="6" t="s">
        <v>15</v>
      </c>
      <c r="F64" s="7">
        <v>42156</v>
      </c>
      <c r="G64" s="7">
        <v>42437</v>
      </c>
      <c r="H64" s="8" t="s">
        <v>94</v>
      </c>
      <c r="I64" s="3" t="s">
        <v>17</v>
      </c>
      <c r="J64" s="3" t="s">
        <v>18</v>
      </c>
      <c r="K64" t="s">
        <v>19</v>
      </c>
      <c r="L64" s="6" t="s">
        <v>695</v>
      </c>
      <c r="M64" s="14" t="s">
        <v>626</v>
      </c>
      <c r="N64" s="6" t="s">
        <v>657</v>
      </c>
      <c r="O64" s="6">
        <v>0</v>
      </c>
      <c r="P64" s="6" t="s">
        <v>782</v>
      </c>
      <c r="Q64" s="35">
        <v>0</v>
      </c>
      <c r="R64" s="35">
        <v>0</v>
      </c>
      <c r="S64" s="35">
        <v>1</v>
      </c>
      <c r="T64" s="35">
        <v>0</v>
      </c>
      <c r="U64" s="35">
        <v>0</v>
      </c>
      <c r="V64" s="35">
        <v>0</v>
      </c>
      <c r="W64" s="35">
        <v>0</v>
      </c>
      <c r="X64" s="6" t="s">
        <v>657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14" t="s">
        <v>21</v>
      </c>
      <c r="AE64" s="13" t="s">
        <v>177</v>
      </c>
      <c r="AF64" s="13" t="s">
        <v>178</v>
      </c>
      <c r="AG64" s="8" t="s">
        <v>1357</v>
      </c>
      <c r="AH64" s="11">
        <v>41022</v>
      </c>
      <c r="AI64" s="10">
        <v>622</v>
      </c>
      <c r="AJ64" s="12">
        <v>24.91</v>
      </c>
      <c r="AK64" s="12">
        <f t="shared" si="0"/>
        <v>4.004823151125402</v>
      </c>
      <c r="AL64" s="12" t="str">
        <f t="shared" si="1"/>
        <v>Até 10%</v>
      </c>
      <c r="AM64" s="6" t="s">
        <v>790</v>
      </c>
      <c r="AN64" s="6" t="s">
        <v>1454</v>
      </c>
      <c r="AO64" s="6" t="s">
        <v>699</v>
      </c>
      <c r="AP64" s="6">
        <v>0</v>
      </c>
      <c r="AQ64" s="6" t="s">
        <v>613</v>
      </c>
      <c r="AR64" s="6" t="s">
        <v>1399</v>
      </c>
      <c r="AS64" s="6">
        <v>1</v>
      </c>
      <c r="AT64" s="6">
        <v>0</v>
      </c>
      <c r="AU64" s="6">
        <v>0</v>
      </c>
      <c r="AV64" s="6">
        <v>0</v>
      </c>
      <c r="AW64" s="6" t="s">
        <v>791</v>
      </c>
      <c r="AX64" s="31">
        <v>1</v>
      </c>
      <c r="AY64" s="31">
        <v>9</v>
      </c>
      <c r="AZ64" s="31">
        <v>0</v>
      </c>
      <c r="BA64" s="12">
        <f t="shared" si="2"/>
        <v>21.166666666666668</v>
      </c>
      <c r="BB64" s="31">
        <v>12</v>
      </c>
      <c r="BC64" s="31">
        <v>0</v>
      </c>
      <c r="BD64" s="31">
        <v>0</v>
      </c>
      <c r="BE64" s="31">
        <v>0</v>
      </c>
      <c r="BF64" s="12">
        <f t="shared" si="3"/>
        <v>0</v>
      </c>
      <c r="BG64" s="6" t="s">
        <v>615</v>
      </c>
      <c r="BH64" s="6" t="s">
        <v>1393</v>
      </c>
      <c r="BI64" s="6">
        <v>0</v>
      </c>
      <c r="BJ64" s="6" t="s">
        <v>609</v>
      </c>
      <c r="BK64" s="6">
        <v>1</v>
      </c>
      <c r="BL64" s="6">
        <v>1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</row>
    <row r="65" spans="1:70" ht="66.599999999999994" customHeight="1" x14ac:dyDescent="0.3">
      <c r="A65" s="6">
        <v>678031</v>
      </c>
      <c r="B65" s="6" t="s">
        <v>13</v>
      </c>
      <c r="C65" s="15" t="s">
        <v>813</v>
      </c>
      <c r="D65" s="6" t="s">
        <v>41</v>
      </c>
      <c r="E65" s="6" t="s">
        <v>15</v>
      </c>
      <c r="F65" s="7">
        <v>42088</v>
      </c>
      <c r="G65" s="7">
        <v>42248</v>
      </c>
      <c r="H65" s="8" t="s">
        <v>16</v>
      </c>
      <c r="I65" s="3" t="s">
        <v>17</v>
      </c>
      <c r="J65" s="3" t="s">
        <v>18</v>
      </c>
      <c r="K65" t="s">
        <v>19</v>
      </c>
      <c r="L65" s="6" t="s">
        <v>695</v>
      </c>
      <c r="M65" s="14" t="s">
        <v>626</v>
      </c>
      <c r="N65" s="6" t="s">
        <v>657</v>
      </c>
      <c r="O65" s="6">
        <v>0</v>
      </c>
      <c r="P65" s="6" t="s">
        <v>854</v>
      </c>
      <c r="Q65" s="35">
        <v>1</v>
      </c>
      <c r="R65" s="35">
        <v>0</v>
      </c>
      <c r="S65" s="35">
        <v>0</v>
      </c>
      <c r="T65" s="35">
        <v>0</v>
      </c>
      <c r="U65" s="35">
        <v>0</v>
      </c>
      <c r="V65" s="35">
        <v>0</v>
      </c>
      <c r="W65" s="35">
        <v>0</v>
      </c>
      <c r="X65" s="6" t="s">
        <v>792</v>
      </c>
      <c r="Y65" s="6">
        <v>1</v>
      </c>
      <c r="Z65" s="6">
        <v>0</v>
      </c>
      <c r="AA65" s="6">
        <v>0</v>
      </c>
      <c r="AB65" s="6">
        <v>1</v>
      </c>
      <c r="AC65" s="6">
        <v>1</v>
      </c>
      <c r="AD65" s="14" t="s">
        <v>43</v>
      </c>
      <c r="AE65" s="13" t="s">
        <v>179</v>
      </c>
      <c r="AF65" s="13" t="s">
        <v>45</v>
      </c>
      <c r="AG65" s="8" t="s">
        <v>1357</v>
      </c>
      <c r="AH65" s="11">
        <v>41115</v>
      </c>
      <c r="AI65" s="10">
        <v>622</v>
      </c>
      <c r="AJ65" s="12">
        <v>150</v>
      </c>
      <c r="AK65" s="12">
        <f t="shared" si="0"/>
        <v>24.115755627009648</v>
      </c>
      <c r="AL65" s="12" t="str">
        <f t="shared" si="1"/>
        <v>10% a 25%</v>
      </c>
      <c r="AM65" s="6" t="s">
        <v>786</v>
      </c>
      <c r="AN65" s="6" t="s">
        <v>1455</v>
      </c>
      <c r="AO65" s="6" t="s">
        <v>701</v>
      </c>
      <c r="AP65" s="6">
        <v>1</v>
      </c>
      <c r="AQ65" s="6" t="s">
        <v>794</v>
      </c>
      <c r="AR65" s="6" t="s">
        <v>1401</v>
      </c>
      <c r="AS65" s="6">
        <v>1</v>
      </c>
      <c r="AT65" s="6">
        <v>0</v>
      </c>
      <c r="AU65" s="6">
        <v>0</v>
      </c>
      <c r="AV65" s="6">
        <v>0</v>
      </c>
      <c r="AW65" s="6" t="s">
        <v>741</v>
      </c>
      <c r="AX65" s="31">
        <v>0</v>
      </c>
      <c r="AY65" s="31">
        <v>8</v>
      </c>
      <c r="AZ65" s="31">
        <v>0</v>
      </c>
      <c r="BA65" s="12">
        <f t="shared" si="2"/>
        <v>8</v>
      </c>
      <c r="BB65" s="31">
        <v>10</v>
      </c>
      <c r="BC65" s="31">
        <v>0</v>
      </c>
      <c r="BD65" s="31">
        <v>0</v>
      </c>
      <c r="BE65" s="31">
        <v>0</v>
      </c>
      <c r="BF65" s="12">
        <f t="shared" si="3"/>
        <v>0</v>
      </c>
      <c r="BG65" s="6" t="s">
        <v>636</v>
      </c>
      <c r="BH65" s="6" t="s">
        <v>1394</v>
      </c>
      <c r="BI65" s="6">
        <v>1</v>
      </c>
      <c r="BJ65" s="6" t="s">
        <v>609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</row>
    <row r="66" spans="1:70" ht="65.400000000000006" customHeight="1" x14ac:dyDescent="0.3">
      <c r="A66" s="6">
        <v>560033</v>
      </c>
      <c r="B66" s="6" t="s">
        <v>46</v>
      </c>
      <c r="C66" s="15" t="s">
        <v>180</v>
      </c>
      <c r="D66" s="6" t="s">
        <v>41</v>
      </c>
      <c r="E66" s="6" t="s">
        <v>15</v>
      </c>
      <c r="F66" s="7">
        <v>41864</v>
      </c>
      <c r="G66" s="7">
        <v>41905</v>
      </c>
      <c r="H66" s="8" t="s">
        <v>52</v>
      </c>
      <c r="I66" s="3" t="s">
        <v>17</v>
      </c>
      <c r="J66" s="3" t="s">
        <v>18</v>
      </c>
      <c r="K66" t="s">
        <v>19</v>
      </c>
      <c r="L66" s="6" t="s">
        <v>695</v>
      </c>
      <c r="M66" s="14" t="s">
        <v>977</v>
      </c>
      <c r="N66" s="6" t="s">
        <v>703</v>
      </c>
      <c r="O66" s="6">
        <v>1</v>
      </c>
      <c r="P66" s="6" t="s">
        <v>781</v>
      </c>
      <c r="Q66" s="35">
        <v>1</v>
      </c>
      <c r="R66" s="35">
        <v>0</v>
      </c>
      <c r="S66" s="35">
        <v>0</v>
      </c>
      <c r="T66" s="35">
        <v>0</v>
      </c>
      <c r="U66" s="35">
        <v>1</v>
      </c>
      <c r="V66" s="35">
        <v>0</v>
      </c>
      <c r="W66" s="35">
        <v>0</v>
      </c>
      <c r="X66" s="6" t="s">
        <v>795</v>
      </c>
      <c r="Y66" s="6">
        <v>1</v>
      </c>
      <c r="Z66" s="6">
        <v>0</v>
      </c>
      <c r="AA66" s="6">
        <v>0</v>
      </c>
      <c r="AB66" s="6">
        <v>0</v>
      </c>
      <c r="AC66" s="6">
        <v>1</v>
      </c>
      <c r="AD66" s="16" t="s">
        <v>21</v>
      </c>
      <c r="AE66" s="18" t="s">
        <v>181</v>
      </c>
      <c r="AF66" s="18" t="s">
        <v>45</v>
      </c>
      <c r="AG66" s="8" t="s">
        <v>1357</v>
      </c>
      <c r="AH66" s="11">
        <v>40657</v>
      </c>
      <c r="AI66" s="10">
        <v>545</v>
      </c>
      <c r="AJ66" s="12">
        <v>60</v>
      </c>
      <c r="AK66" s="12">
        <f t="shared" si="0"/>
        <v>11.009174311926607</v>
      </c>
      <c r="AL66" s="12" t="str">
        <f t="shared" si="1"/>
        <v>10% a 25%</v>
      </c>
      <c r="AM66" s="6" t="s">
        <v>622</v>
      </c>
      <c r="AN66" s="6" t="s">
        <v>622</v>
      </c>
      <c r="AO66" s="6" t="s">
        <v>699</v>
      </c>
      <c r="AP66" s="6">
        <v>0</v>
      </c>
      <c r="AQ66" s="6" t="s">
        <v>785</v>
      </c>
      <c r="AR66" s="6" t="s">
        <v>1401</v>
      </c>
      <c r="AS66" s="6">
        <v>1</v>
      </c>
      <c r="AT66" s="6">
        <v>0</v>
      </c>
      <c r="AU66" s="6">
        <v>0</v>
      </c>
      <c r="AV66" s="6">
        <v>0</v>
      </c>
      <c r="AW66" s="6" t="s">
        <v>796</v>
      </c>
      <c r="AX66" s="31">
        <v>0</v>
      </c>
      <c r="AY66" s="31">
        <v>8</v>
      </c>
      <c r="AZ66" s="31">
        <v>0</v>
      </c>
      <c r="BA66" s="12">
        <f t="shared" si="2"/>
        <v>8</v>
      </c>
      <c r="BB66" s="31">
        <v>10</v>
      </c>
      <c r="BC66" s="31">
        <v>0</v>
      </c>
      <c r="BD66" s="31">
        <v>0</v>
      </c>
      <c r="BE66" s="31">
        <v>0</v>
      </c>
      <c r="BF66" s="12">
        <f t="shared" si="3"/>
        <v>0</v>
      </c>
      <c r="BG66" s="6" t="s">
        <v>636</v>
      </c>
      <c r="BH66" s="6" t="s">
        <v>1394</v>
      </c>
      <c r="BI66" s="6">
        <v>1</v>
      </c>
      <c r="BJ66" s="6" t="s">
        <v>609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</row>
    <row r="67" spans="1:70" ht="63" customHeight="1" x14ac:dyDescent="0.3">
      <c r="A67" s="6">
        <v>680266</v>
      </c>
      <c r="B67" s="6" t="s">
        <v>46</v>
      </c>
      <c r="C67" s="15" t="s">
        <v>182</v>
      </c>
      <c r="D67" s="6" t="s">
        <v>41</v>
      </c>
      <c r="E67" s="6" t="s">
        <v>15</v>
      </c>
      <c r="F67" s="7">
        <v>42093</v>
      </c>
      <c r="G67" s="7">
        <v>42123</v>
      </c>
      <c r="H67" s="8" t="s">
        <v>111</v>
      </c>
      <c r="I67" s="3" t="s">
        <v>17</v>
      </c>
      <c r="J67" s="3" t="s">
        <v>18</v>
      </c>
      <c r="K67" t="s">
        <v>19</v>
      </c>
      <c r="L67" s="6" t="s">
        <v>696</v>
      </c>
      <c r="M67" s="14" t="s">
        <v>626</v>
      </c>
      <c r="N67" s="6" t="s">
        <v>657</v>
      </c>
      <c r="O67" s="6">
        <v>0</v>
      </c>
      <c r="P67" s="6" t="s">
        <v>782</v>
      </c>
      <c r="Q67" s="35">
        <v>0</v>
      </c>
      <c r="R67" s="35">
        <v>0</v>
      </c>
      <c r="S67" s="35">
        <v>1</v>
      </c>
      <c r="T67" s="35">
        <v>0</v>
      </c>
      <c r="U67" s="35">
        <v>0</v>
      </c>
      <c r="V67" s="35">
        <v>0</v>
      </c>
      <c r="W67" s="35">
        <v>0</v>
      </c>
      <c r="X67" s="6" t="s">
        <v>798</v>
      </c>
      <c r="Y67" s="6">
        <v>1</v>
      </c>
      <c r="Z67" s="6">
        <v>1</v>
      </c>
      <c r="AA67" s="6">
        <v>0</v>
      </c>
      <c r="AB67" s="6">
        <v>1</v>
      </c>
      <c r="AC67" s="6">
        <v>0</v>
      </c>
      <c r="AD67" s="14" t="s">
        <v>21</v>
      </c>
      <c r="AE67" s="13" t="s">
        <v>183</v>
      </c>
      <c r="AF67" s="13" t="s">
        <v>92</v>
      </c>
      <c r="AG67" s="8" t="s">
        <v>1357</v>
      </c>
      <c r="AH67" s="11">
        <v>40001</v>
      </c>
      <c r="AI67" s="10">
        <v>265</v>
      </c>
      <c r="AJ67" s="12">
        <v>14</v>
      </c>
      <c r="AK67" s="12">
        <f t="shared" ref="AK67:AK81" si="4">IFERROR((AJ67/AI67)*100,"")</f>
        <v>5.2830188679245289</v>
      </c>
      <c r="AL67" s="12" t="str">
        <f t="shared" ref="AL67" si="5">IF(AK67=0,"Não Informado",IF(AK67&lt;=10,"Até 10%",IF(AK67&lt;=25,"10% a 25%",IF(AK67&lt;=50,"25% a 50%","Acima de 50%"))))</f>
        <v>Até 10%</v>
      </c>
      <c r="AM67" s="6" t="s">
        <v>799</v>
      </c>
      <c r="AN67" s="6" t="s">
        <v>1452</v>
      </c>
      <c r="AO67" s="6" t="s">
        <v>699</v>
      </c>
      <c r="AP67" s="6">
        <v>0</v>
      </c>
      <c r="AQ67" s="6" t="s">
        <v>613</v>
      </c>
      <c r="AR67" s="6" t="s">
        <v>1399</v>
      </c>
      <c r="AS67" s="6">
        <v>1</v>
      </c>
      <c r="AT67" s="6">
        <v>0</v>
      </c>
      <c r="AU67" s="6">
        <v>0</v>
      </c>
      <c r="AV67" s="6">
        <v>0</v>
      </c>
      <c r="AW67" s="6" t="s">
        <v>800</v>
      </c>
      <c r="AX67" s="31">
        <v>1</v>
      </c>
      <c r="AY67" s="31">
        <v>6</v>
      </c>
      <c r="AZ67" s="31">
        <v>0</v>
      </c>
      <c r="BA67" s="12">
        <f t="shared" ref="BA67:BA130" si="6">(AX67*365+AY67*30+AZ67)/30</f>
        <v>18.166666666666668</v>
      </c>
      <c r="BB67" s="31">
        <v>30</v>
      </c>
      <c r="BC67" s="31">
        <v>0</v>
      </c>
      <c r="BD67" s="31">
        <v>0</v>
      </c>
      <c r="BE67" s="31">
        <v>0</v>
      </c>
      <c r="BF67" s="12">
        <f t="shared" ref="BF67:BF130" si="7">(BC67*365+BD67*30+BE67)/30</f>
        <v>0</v>
      </c>
      <c r="BG67" s="6" t="s">
        <v>636</v>
      </c>
      <c r="BH67" s="6" t="s">
        <v>1394</v>
      </c>
      <c r="BI67" s="6">
        <v>1</v>
      </c>
      <c r="BJ67" s="6" t="s">
        <v>609</v>
      </c>
      <c r="BK67" s="6">
        <v>1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</row>
    <row r="68" spans="1:70" ht="61.8" customHeight="1" x14ac:dyDescent="0.3">
      <c r="A68" s="6">
        <v>319265</v>
      </c>
      <c r="B68" s="6" t="s">
        <v>24</v>
      </c>
      <c r="C68" s="15" t="s">
        <v>184</v>
      </c>
      <c r="D68" s="6" t="s">
        <v>14</v>
      </c>
      <c r="E68" s="6" t="s">
        <v>15</v>
      </c>
      <c r="F68" s="7">
        <v>42086</v>
      </c>
      <c r="G68" s="7">
        <v>42173</v>
      </c>
      <c r="H68" s="8" t="s">
        <v>71</v>
      </c>
      <c r="I68" s="3" t="s">
        <v>17</v>
      </c>
      <c r="J68" s="3" t="s">
        <v>18</v>
      </c>
      <c r="K68" t="s">
        <v>19</v>
      </c>
      <c r="L68" s="6" t="s">
        <v>695</v>
      </c>
      <c r="M68" s="14" t="s">
        <v>35</v>
      </c>
      <c r="N68" s="6" t="s">
        <v>657</v>
      </c>
      <c r="O68" s="6">
        <v>0</v>
      </c>
      <c r="P68" s="6" t="s">
        <v>763</v>
      </c>
      <c r="Q68" s="35">
        <v>0</v>
      </c>
      <c r="R68" s="35">
        <v>0</v>
      </c>
      <c r="S68" s="35">
        <v>1</v>
      </c>
      <c r="T68" s="35">
        <v>0</v>
      </c>
      <c r="U68" s="35">
        <v>0</v>
      </c>
      <c r="V68" s="35">
        <v>0</v>
      </c>
      <c r="W68" s="35">
        <v>0</v>
      </c>
      <c r="X68" s="6" t="s">
        <v>801</v>
      </c>
      <c r="Y68" s="6">
        <v>1</v>
      </c>
      <c r="Z68" s="6">
        <v>0</v>
      </c>
      <c r="AA68" s="6">
        <v>0</v>
      </c>
      <c r="AB68" s="6">
        <v>1</v>
      </c>
      <c r="AC68" s="6">
        <v>0</v>
      </c>
      <c r="AD68" s="14" t="s">
        <v>43</v>
      </c>
      <c r="AE68" s="13" t="s">
        <v>185</v>
      </c>
      <c r="AF68" s="13" t="s">
        <v>23</v>
      </c>
      <c r="AG68" s="8" t="s">
        <v>1357</v>
      </c>
      <c r="AH68" s="11">
        <v>41019</v>
      </c>
      <c r="AI68" s="10">
        <v>622</v>
      </c>
      <c r="AJ68" s="12">
        <v>80</v>
      </c>
      <c r="AK68" s="12">
        <f t="shared" si="4"/>
        <v>12.861736334405144</v>
      </c>
      <c r="AL68" s="12" t="str">
        <f t="shared" si="1"/>
        <v>10% a 25%</v>
      </c>
      <c r="AM68" s="6" t="s">
        <v>786</v>
      </c>
      <c r="AN68" s="6" t="s">
        <v>1455</v>
      </c>
      <c r="AO68" s="6" t="s">
        <v>699</v>
      </c>
      <c r="AP68" s="6">
        <v>0</v>
      </c>
      <c r="AQ68" s="6" t="s">
        <v>613</v>
      </c>
      <c r="AR68" s="6" t="s">
        <v>1399</v>
      </c>
      <c r="AS68" s="6">
        <v>1</v>
      </c>
      <c r="AT68" s="6">
        <v>0</v>
      </c>
      <c r="AU68" s="6">
        <v>0</v>
      </c>
      <c r="AV68" s="6">
        <v>0</v>
      </c>
      <c r="AW68" s="6" t="s">
        <v>802</v>
      </c>
      <c r="AX68" s="31">
        <v>0</v>
      </c>
      <c r="AY68" s="31">
        <v>6</v>
      </c>
      <c r="AZ68" s="31">
        <v>0</v>
      </c>
      <c r="BA68" s="12">
        <f t="shared" si="6"/>
        <v>6</v>
      </c>
      <c r="BB68" s="31">
        <v>5</v>
      </c>
      <c r="BC68" s="31">
        <v>0</v>
      </c>
      <c r="BD68" s="31">
        <v>0</v>
      </c>
      <c r="BE68" s="31">
        <v>0</v>
      </c>
      <c r="BF68" s="12">
        <f t="shared" si="7"/>
        <v>0</v>
      </c>
      <c r="BG68" s="6" t="s">
        <v>637</v>
      </c>
      <c r="BH68" s="6" t="s">
        <v>1394</v>
      </c>
      <c r="BI68" s="6">
        <v>0</v>
      </c>
      <c r="BJ68" s="6" t="s">
        <v>609</v>
      </c>
      <c r="BK68" s="6">
        <v>1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</row>
    <row r="69" spans="1:70" ht="72" customHeight="1" x14ac:dyDescent="0.3">
      <c r="A69" s="6">
        <v>342485</v>
      </c>
      <c r="B69" s="6" t="s">
        <v>24</v>
      </c>
      <c r="C69" s="15" t="s">
        <v>186</v>
      </c>
      <c r="D69" s="6" t="s">
        <v>14</v>
      </c>
      <c r="E69" s="6" t="s">
        <v>15</v>
      </c>
      <c r="F69" s="7">
        <v>42326</v>
      </c>
      <c r="G69" s="7">
        <v>42773</v>
      </c>
      <c r="H69" s="8" t="s">
        <v>94</v>
      </c>
      <c r="I69" s="3" t="s">
        <v>17</v>
      </c>
      <c r="J69" s="3" t="s">
        <v>18</v>
      </c>
      <c r="K69" t="s">
        <v>19</v>
      </c>
      <c r="L69" s="6" t="s">
        <v>695</v>
      </c>
      <c r="M69" s="14" t="s">
        <v>757</v>
      </c>
      <c r="N69" s="6" t="s">
        <v>703</v>
      </c>
      <c r="O69" s="6">
        <v>1</v>
      </c>
      <c r="P69" s="6" t="s">
        <v>714</v>
      </c>
      <c r="Q69" s="35">
        <v>1</v>
      </c>
      <c r="R69" s="35">
        <v>0</v>
      </c>
      <c r="S69" s="35">
        <v>0</v>
      </c>
      <c r="T69" s="35">
        <v>0</v>
      </c>
      <c r="U69" s="35">
        <v>0</v>
      </c>
      <c r="V69" s="35">
        <v>0</v>
      </c>
      <c r="W69" s="35">
        <v>0</v>
      </c>
      <c r="X69" s="6" t="s">
        <v>657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14" t="s">
        <v>21</v>
      </c>
      <c r="AE69" s="13" t="s">
        <v>187</v>
      </c>
      <c r="AF69" s="13" t="s">
        <v>23</v>
      </c>
      <c r="AG69" s="8" t="s">
        <v>1357</v>
      </c>
      <c r="AH69" s="11">
        <v>41639</v>
      </c>
      <c r="AI69" s="10">
        <v>678</v>
      </c>
      <c r="AJ69" s="12">
        <v>16</v>
      </c>
      <c r="AK69" s="12">
        <f t="shared" si="4"/>
        <v>2.359882005899705</v>
      </c>
      <c r="AL69" s="12" t="str">
        <f t="shared" ref="AL69:AL132" si="8">IF(AK69=0,"Não Informado",IF(AK69&lt;=10,"Até 10%",IF(AK69&lt;=25,"10% a 25%",IF(AK69&lt;=50,"25% a 50%","Acima de 50%"))))</f>
        <v>Até 10%</v>
      </c>
      <c r="AM69" s="6" t="s">
        <v>803</v>
      </c>
      <c r="AN69" s="6" t="s">
        <v>616</v>
      </c>
      <c r="AO69" s="6" t="s">
        <v>699</v>
      </c>
      <c r="AP69" s="6">
        <v>0</v>
      </c>
      <c r="AQ69" s="6" t="s">
        <v>613</v>
      </c>
      <c r="AR69" s="6" t="s">
        <v>1399</v>
      </c>
      <c r="AS69" s="6">
        <v>1</v>
      </c>
      <c r="AT69" s="6">
        <v>0</v>
      </c>
      <c r="AU69" s="6">
        <v>0</v>
      </c>
      <c r="AV69" s="6">
        <v>0</v>
      </c>
      <c r="AW69" s="6" t="s">
        <v>804</v>
      </c>
      <c r="AX69" s="31">
        <v>1</v>
      </c>
      <c r="AY69" s="31">
        <v>20</v>
      </c>
      <c r="AZ69" s="31">
        <v>0</v>
      </c>
      <c r="BA69" s="12">
        <f t="shared" si="6"/>
        <v>32.166666666666664</v>
      </c>
      <c r="BB69" s="31">
        <v>11</v>
      </c>
      <c r="BC69" s="31">
        <v>0</v>
      </c>
      <c r="BD69" s="31">
        <v>10</v>
      </c>
      <c r="BE69" s="31">
        <v>3</v>
      </c>
      <c r="BF69" s="12">
        <f t="shared" si="7"/>
        <v>10.1</v>
      </c>
      <c r="BG69" s="6" t="s">
        <v>805</v>
      </c>
      <c r="BH69" s="6" t="s">
        <v>1396</v>
      </c>
      <c r="BI69" s="6">
        <v>0</v>
      </c>
      <c r="BJ69" s="6" t="s">
        <v>609</v>
      </c>
      <c r="BK69" s="6">
        <v>0</v>
      </c>
      <c r="BL69" s="6">
        <v>1</v>
      </c>
      <c r="BM69" s="6">
        <v>0</v>
      </c>
      <c r="BN69" s="6">
        <v>1</v>
      </c>
      <c r="BO69" s="6">
        <v>0</v>
      </c>
      <c r="BP69" s="6">
        <v>0</v>
      </c>
      <c r="BQ69" s="6">
        <v>0</v>
      </c>
      <c r="BR69" s="6">
        <v>0</v>
      </c>
    </row>
    <row r="70" spans="1:70" ht="79.8" customHeight="1" x14ac:dyDescent="0.3">
      <c r="A70" s="6">
        <v>332785</v>
      </c>
      <c r="B70" s="6" t="s">
        <v>24</v>
      </c>
      <c r="C70" s="15" t="s">
        <v>188</v>
      </c>
      <c r="D70" s="6" t="s">
        <v>14</v>
      </c>
      <c r="E70" s="6" t="s">
        <v>15</v>
      </c>
      <c r="F70" s="7">
        <v>42228</v>
      </c>
      <c r="G70" s="7">
        <v>42544</v>
      </c>
      <c r="H70" s="8" t="s">
        <v>94</v>
      </c>
      <c r="I70" s="3" t="s">
        <v>17</v>
      </c>
      <c r="J70" s="3" t="s">
        <v>18</v>
      </c>
      <c r="K70" t="s">
        <v>19</v>
      </c>
      <c r="L70" s="6" t="s">
        <v>696</v>
      </c>
      <c r="M70" s="14" t="s">
        <v>806</v>
      </c>
      <c r="N70" s="6" t="s">
        <v>657</v>
      </c>
      <c r="O70" s="6">
        <v>0</v>
      </c>
      <c r="P70" s="6" t="s">
        <v>698</v>
      </c>
      <c r="Q70" s="35">
        <v>1</v>
      </c>
      <c r="R70" s="35">
        <v>1</v>
      </c>
      <c r="S70" s="35">
        <v>0</v>
      </c>
      <c r="T70" s="35">
        <v>0</v>
      </c>
      <c r="U70" s="35">
        <v>0</v>
      </c>
      <c r="V70" s="35">
        <v>0</v>
      </c>
      <c r="W70" s="35">
        <v>0</v>
      </c>
      <c r="X70" s="6" t="s">
        <v>657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16" t="s">
        <v>21</v>
      </c>
      <c r="AE70" s="3" t="s">
        <v>189</v>
      </c>
      <c r="AF70" s="13" t="s">
        <v>23</v>
      </c>
      <c r="AG70" s="8" t="s">
        <v>1357</v>
      </c>
      <c r="AH70" s="11">
        <v>39685</v>
      </c>
      <c r="AI70" s="10">
        <v>415</v>
      </c>
      <c r="AJ70" s="12">
        <v>99</v>
      </c>
      <c r="AK70" s="12">
        <f t="shared" si="4"/>
        <v>23.85542168674699</v>
      </c>
      <c r="AL70" s="12" t="str">
        <f t="shared" si="8"/>
        <v>10% a 25%</v>
      </c>
      <c r="AM70" s="6" t="s">
        <v>786</v>
      </c>
      <c r="AN70" s="6" t="s">
        <v>1455</v>
      </c>
      <c r="AO70" s="6" t="s">
        <v>699</v>
      </c>
      <c r="AP70" s="6">
        <v>0</v>
      </c>
      <c r="AQ70" s="6" t="s">
        <v>613</v>
      </c>
      <c r="AR70" s="6" t="s">
        <v>1399</v>
      </c>
      <c r="AS70" s="6">
        <v>1</v>
      </c>
      <c r="AT70" s="6">
        <v>0</v>
      </c>
      <c r="AU70" s="6">
        <v>0</v>
      </c>
      <c r="AV70" s="6">
        <v>0</v>
      </c>
      <c r="AW70" s="6" t="s">
        <v>652</v>
      </c>
      <c r="AX70" s="31">
        <v>2</v>
      </c>
      <c r="AY70" s="31">
        <v>0</v>
      </c>
      <c r="AZ70" s="31">
        <v>0</v>
      </c>
      <c r="BA70" s="12">
        <f t="shared" si="6"/>
        <v>24.333333333333332</v>
      </c>
      <c r="BB70" s="31">
        <v>10</v>
      </c>
      <c r="BC70" s="31">
        <v>0</v>
      </c>
      <c r="BD70" s="31">
        <v>0</v>
      </c>
      <c r="BE70" s="31">
        <v>0</v>
      </c>
      <c r="BF70" s="12">
        <f t="shared" si="7"/>
        <v>0</v>
      </c>
      <c r="BG70" s="6" t="s">
        <v>615</v>
      </c>
      <c r="BH70" s="6" t="s">
        <v>1393</v>
      </c>
      <c r="BI70" s="6">
        <v>0</v>
      </c>
      <c r="BJ70" s="6" t="s">
        <v>609</v>
      </c>
      <c r="BK70" s="6">
        <v>0</v>
      </c>
      <c r="BL70" s="6">
        <v>1</v>
      </c>
      <c r="BM70" s="6">
        <v>0</v>
      </c>
      <c r="BN70" s="6">
        <v>1</v>
      </c>
      <c r="BO70" s="6">
        <v>0</v>
      </c>
      <c r="BP70" s="6">
        <v>0</v>
      </c>
      <c r="BQ70" s="6">
        <v>0</v>
      </c>
      <c r="BR70" s="6">
        <v>0</v>
      </c>
    </row>
    <row r="71" spans="1:70" ht="68.400000000000006" customHeight="1" x14ac:dyDescent="0.3">
      <c r="A71" s="6">
        <v>1492641</v>
      </c>
      <c r="B71" s="6" t="s">
        <v>26</v>
      </c>
      <c r="C71" s="15" t="s">
        <v>190</v>
      </c>
      <c r="D71" s="6" t="s">
        <v>41</v>
      </c>
      <c r="E71" s="6" t="s">
        <v>15</v>
      </c>
      <c r="F71" s="7">
        <v>41946</v>
      </c>
      <c r="G71" s="7">
        <v>41976</v>
      </c>
      <c r="H71" s="8" t="s">
        <v>77</v>
      </c>
      <c r="I71" s="3" t="s">
        <v>48</v>
      </c>
      <c r="J71" s="3" t="s">
        <v>18</v>
      </c>
      <c r="K71" t="s">
        <v>19</v>
      </c>
      <c r="L71" s="6" t="s">
        <v>696</v>
      </c>
      <c r="M71" s="14" t="s">
        <v>899</v>
      </c>
      <c r="N71" s="6" t="s">
        <v>657</v>
      </c>
      <c r="O71" s="6">
        <v>0</v>
      </c>
      <c r="P71" s="6" t="s">
        <v>709</v>
      </c>
      <c r="Q71" s="35">
        <v>0</v>
      </c>
      <c r="R71" s="35">
        <v>0</v>
      </c>
      <c r="S71" s="35">
        <v>1</v>
      </c>
      <c r="T71" s="35">
        <v>0</v>
      </c>
      <c r="U71" s="35">
        <v>0</v>
      </c>
      <c r="V71" s="35">
        <v>0</v>
      </c>
      <c r="W71" s="35">
        <v>0</v>
      </c>
      <c r="X71" s="6" t="s">
        <v>801</v>
      </c>
      <c r="Y71" s="6">
        <v>1</v>
      </c>
      <c r="Z71" s="6">
        <v>0</v>
      </c>
      <c r="AA71" s="6">
        <v>0</v>
      </c>
      <c r="AB71" s="6">
        <v>1</v>
      </c>
      <c r="AC71" s="6">
        <v>0</v>
      </c>
      <c r="AD71" s="14" t="s">
        <v>21</v>
      </c>
      <c r="AE71" s="3" t="s">
        <v>191</v>
      </c>
      <c r="AF71" s="13" t="s">
        <v>773</v>
      </c>
      <c r="AG71" s="8" t="s">
        <v>1357</v>
      </c>
      <c r="AH71" s="11">
        <v>41011</v>
      </c>
      <c r="AI71" s="10">
        <v>622</v>
      </c>
      <c r="AJ71" s="12">
        <v>130</v>
      </c>
      <c r="AK71" s="12">
        <f t="shared" si="4"/>
        <v>20.90032154340836</v>
      </c>
      <c r="AL71" s="12" t="str">
        <f t="shared" si="8"/>
        <v>10% a 25%</v>
      </c>
      <c r="AM71" s="6" t="s">
        <v>737</v>
      </c>
      <c r="AN71" s="6" t="s">
        <v>1454</v>
      </c>
      <c r="AO71" s="6" t="s">
        <v>699</v>
      </c>
      <c r="AP71" s="6">
        <v>0</v>
      </c>
      <c r="AQ71" s="6" t="s">
        <v>613</v>
      </c>
      <c r="AR71" s="6" t="s">
        <v>1399</v>
      </c>
      <c r="AS71" s="6">
        <v>1</v>
      </c>
      <c r="AT71" s="6">
        <v>0</v>
      </c>
      <c r="AU71" s="6">
        <v>0</v>
      </c>
      <c r="AV71" s="6">
        <v>0</v>
      </c>
      <c r="AW71" s="6" t="s">
        <v>807</v>
      </c>
      <c r="AX71" s="31">
        <v>1</v>
      </c>
      <c r="AY71" s="31">
        <v>3</v>
      </c>
      <c r="AZ71" s="31">
        <v>0</v>
      </c>
      <c r="BA71" s="12">
        <f t="shared" si="6"/>
        <v>15.166666666666666</v>
      </c>
      <c r="BB71" s="31">
        <v>12</v>
      </c>
      <c r="BC71" s="31">
        <v>0</v>
      </c>
      <c r="BD71" s="31">
        <v>0</v>
      </c>
      <c r="BE71" s="31">
        <v>0</v>
      </c>
      <c r="BF71" s="12">
        <f t="shared" si="7"/>
        <v>0</v>
      </c>
      <c r="BG71" s="6" t="s">
        <v>637</v>
      </c>
      <c r="BH71" s="6" t="s">
        <v>1394</v>
      </c>
      <c r="BI71" s="6">
        <v>0</v>
      </c>
      <c r="BJ71" s="6" t="s">
        <v>617</v>
      </c>
      <c r="BK71" s="6">
        <v>1</v>
      </c>
      <c r="BL71" s="6">
        <v>0</v>
      </c>
      <c r="BM71" s="6">
        <v>1</v>
      </c>
      <c r="BN71" s="6">
        <v>0</v>
      </c>
      <c r="BO71" s="6" t="s">
        <v>1032</v>
      </c>
      <c r="BP71" s="6" t="s">
        <v>1461</v>
      </c>
      <c r="BQ71" s="6" t="s">
        <v>1459</v>
      </c>
      <c r="BR71" s="6" t="s">
        <v>1461</v>
      </c>
    </row>
    <row r="72" spans="1:70" ht="66" customHeight="1" x14ac:dyDescent="0.3">
      <c r="A72" s="6">
        <v>331548</v>
      </c>
      <c r="B72" s="6" t="s">
        <v>24</v>
      </c>
      <c r="C72" s="15" t="s">
        <v>192</v>
      </c>
      <c r="D72" s="6" t="s">
        <v>64</v>
      </c>
      <c r="E72" s="6" t="s">
        <v>15</v>
      </c>
      <c r="F72" s="7">
        <v>42216</v>
      </c>
      <c r="G72" s="7">
        <v>42262</v>
      </c>
      <c r="H72" s="8" t="s">
        <v>101</v>
      </c>
      <c r="I72" s="3" t="s">
        <v>17</v>
      </c>
      <c r="J72" s="3" t="s">
        <v>18</v>
      </c>
      <c r="K72" t="s">
        <v>19</v>
      </c>
      <c r="L72" s="6" t="s">
        <v>695</v>
      </c>
      <c r="M72" s="14" t="s">
        <v>35</v>
      </c>
      <c r="N72" s="6" t="s">
        <v>657</v>
      </c>
      <c r="O72" s="6">
        <v>0</v>
      </c>
      <c r="P72" s="6" t="s">
        <v>714</v>
      </c>
      <c r="Q72" s="35">
        <v>1</v>
      </c>
      <c r="R72" s="35">
        <v>0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  <c r="X72" s="6" t="s">
        <v>809</v>
      </c>
      <c r="Y72" s="6">
        <v>1</v>
      </c>
      <c r="Z72" s="6">
        <v>1</v>
      </c>
      <c r="AA72" s="6">
        <v>0</v>
      </c>
      <c r="AB72" s="6">
        <v>0</v>
      </c>
      <c r="AC72" s="6">
        <v>0</v>
      </c>
      <c r="AD72" s="14" t="s">
        <v>43</v>
      </c>
      <c r="AE72" s="3" t="s">
        <v>193</v>
      </c>
      <c r="AF72" s="13" t="s">
        <v>194</v>
      </c>
      <c r="AG72" s="8" t="s">
        <v>194</v>
      </c>
      <c r="AH72" s="11">
        <v>41353</v>
      </c>
      <c r="AI72" s="10">
        <v>678</v>
      </c>
      <c r="AJ72" s="12">
        <v>140</v>
      </c>
      <c r="AK72" s="12">
        <f t="shared" si="4"/>
        <v>20.64896755162242</v>
      </c>
      <c r="AL72" s="12" t="str">
        <f t="shared" si="8"/>
        <v>10% a 25%</v>
      </c>
      <c r="AM72" s="6" t="s">
        <v>808</v>
      </c>
      <c r="AN72" s="6" t="s">
        <v>1454</v>
      </c>
      <c r="AO72" s="6" t="s">
        <v>699</v>
      </c>
      <c r="AP72" s="6">
        <v>0</v>
      </c>
      <c r="AQ72" s="6" t="s">
        <v>613</v>
      </c>
      <c r="AR72" s="6" t="s">
        <v>1399</v>
      </c>
      <c r="AS72" s="6">
        <v>1</v>
      </c>
      <c r="AT72" s="6">
        <v>0</v>
      </c>
      <c r="AU72" s="6">
        <v>0</v>
      </c>
      <c r="AV72" s="6">
        <v>0</v>
      </c>
      <c r="AW72" s="6" t="s">
        <v>686</v>
      </c>
      <c r="AX72" s="31">
        <v>1</v>
      </c>
      <c r="AY72" s="31">
        <v>0</v>
      </c>
      <c r="AZ72" s="31">
        <v>0</v>
      </c>
      <c r="BA72" s="12">
        <f t="shared" si="6"/>
        <v>12.166666666666666</v>
      </c>
      <c r="BB72" s="31">
        <v>10</v>
      </c>
      <c r="BC72" s="31">
        <v>0</v>
      </c>
      <c r="BD72" s="31">
        <v>0</v>
      </c>
      <c r="BE72" s="31">
        <v>0</v>
      </c>
      <c r="BF72" s="12">
        <f t="shared" si="7"/>
        <v>0</v>
      </c>
      <c r="BG72" s="6" t="s">
        <v>636</v>
      </c>
      <c r="BH72" s="6" t="s">
        <v>1394</v>
      </c>
      <c r="BI72" s="6">
        <v>1</v>
      </c>
      <c r="BJ72" s="6" t="s">
        <v>609</v>
      </c>
      <c r="BK72" s="6">
        <v>1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</row>
    <row r="73" spans="1:70" ht="64.2" customHeight="1" x14ac:dyDescent="0.3">
      <c r="A73" s="6">
        <v>308816</v>
      </c>
      <c r="B73" s="6" t="s">
        <v>24</v>
      </c>
      <c r="C73" s="15" t="s">
        <v>195</v>
      </c>
      <c r="D73" s="6" t="s">
        <v>106</v>
      </c>
      <c r="E73" s="6" t="s">
        <v>15</v>
      </c>
      <c r="F73" s="7">
        <v>41948</v>
      </c>
      <c r="G73" s="7">
        <v>42066</v>
      </c>
      <c r="H73" s="8" t="s">
        <v>59</v>
      </c>
      <c r="I73" s="3" t="s">
        <v>17</v>
      </c>
      <c r="J73" s="3" t="s">
        <v>18</v>
      </c>
      <c r="K73" t="s">
        <v>19</v>
      </c>
      <c r="L73" s="6" t="s">
        <v>696</v>
      </c>
      <c r="M73" s="14" t="s">
        <v>35</v>
      </c>
      <c r="N73" s="6" t="s">
        <v>657</v>
      </c>
      <c r="O73" s="6">
        <v>0</v>
      </c>
      <c r="P73" s="6" t="s">
        <v>698</v>
      </c>
      <c r="Q73" s="35">
        <v>1</v>
      </c>
      <c r="R73" s="35">
        <v>1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  <c r="X73" s="6" t="s">
        <v>657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14" t="s">
        <v>43</v>
      </c>
      <c r="AE73" s="13" t="s">
        <v>196</v>
      </c>
      <c r="AF73" s="13" t="s">
        <v>108</v>
      </c>
      <c r="AG73" s="8" t="s">
        <v>1357</v>
      </c>
      <c r="AH73" s="11">
        <v>40406</v>
      </c>
      <c r="AI73" s="10">
        <v>510</v>
      </c>
      <c r="AJ73" s="12">
        <v>320</v>
      </c>
      <c r="AK73" s="12">
        <f t="shared" si="4"/>
        <v>62.745098039215684</v>
      </c>
      <c r="AL73" s="12" t="str">
        <f t="shared" si="8"/>
        <v>Acima de 50%</v>
      </c>
      <c r="AM73" s="6" t="s">
        <v>811</v>
      </c>
      <c r="AN73" s="6" t="s">
        <v>1454</v>
      </c>
      <c r="AO73" s="6" t="s">
        <v>699</v>
      </c>
      <c r="AP73" s="6">
        <v>0</v>
      </c>
      <c r="AQ73" s="6" t="s">
        <v>639</v>
      </c>
      <c r="AR73" s="6" t="s">
        <v>1399</v>
      </c>
      <c r="AS73" s="6">
        <v>1</v>
      </c>
      <c r="AT73" s="6">
        <v>1</v>
      </c>
      <c r="AU73" s="6">
        <v>0</v>
      </c>
      <c r="AV73" s="6">
        <v>0</v>
      </c>
      <c r="AW73" s="6" t="s">
        <v>812</v>
      </c>
      <c r="AX73" s="31">
        <v>2</v>
      </c>
      <c r="AY73" s="31">
        <v>0</v>
      </c>
      <c r="AZ73" s="31">
        <v>0</v>
      </c>
      <c r="BA73" s="12">
        <f t="shared" si="6"/>
        <v>24.333333333333332</v>
      </c>
      <c r="BB73" s="31">
        <v>20</v>
      </c>
      <c r="BC73" s="31">
        <v>0</v>
      </c>
      <c r="BD73" s="31">
        <v>0</v>
      </c>
      <c r="BE73" s="31">
        <v>0</v>
      </c>
      <c r="BF73" s="12">
        <f t="shared" si="7"/>
        <v>0</v>
      </c>
      <c r="BG73" s="6" t="s">
        <v>611</v>
      </c>
      <c r="BH73" s="6" t="s">
        <v>1392</v>
      </c>
      <c r="BI73" s="6">
        <v>0</v>
      </c>
      <c r="BJ73" s="6" t="s">
        <v>609</v>
      </c>
      <c r="BK73" s="6">
        <v>0</v>
      </c>
      <c r="BL73" s="6">
        <v>1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</row>
    <row r="74" spans="1:70" ht="72" customHeight="1" x14ac:dyDescent="0.3">
      <c r="A74" s="6">
        <v>598573</v>
      </c>
      <c r="B74" s="6" t="s">
        <v>13</v>
      </c>
      <c r="C74" s="15" t="s">
        <v>814</v>
      </c>
      <c r="D74" s="6" t="s">
        <v>55</v>
      </c>
      <c r="E74" s="6" t="s">
        <v>15</v>
      </c>
      <c r="F74" s="7">
        <v>41929</v>
      </c>
      <c r="G74" s="7">
        <v>42782</v>
      </c>
      <c r="H74" s="8" t="s">
        <v>42</v>
      </c>
      <c r="I74" s="3" t="s">
        <v>48</v>
      </c>
      <c r="J74" s="3" t="s">
        <v>18</v>
      </c>
      <c r="K74" t="s">
        <v>19</v>
      </c>
      <c r="L74" s="6" t="s">
        <v>696</v>
      </c>
      <c r="M74" s="14" t="s">
        <v>815</v>
      </c>
      <c r="N74" s="6" t="s">
        <v>657</v>
      </c>
      <c r="O74" s="6">
        <v>0</v>
      </c>
      <c r="P74" s="6" t="s">
        <v>763</v>
      </c>
      <c r="Q74" s="35">
        <v>0</v>
      </c>
      <c r="R74" s="35">
        <v>0</v>
      </c>
      <c r="S74" s="35">
        <v>1</v>
      </c>
      <c r="T74" s="35">
        <v>0</v>
      </c>
      <c r="U74" s="35">
        <v>0</v>
      </c>
      <c r="V74" s="35">
        <v>0</v>
      </c>
      <c r="W74" s="35">
        <v>0</v>
      </c>
      <c r="X74" s="6" t="s">
        <v>657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14" t="s">
        <v>43</v>
      </c>
      <c r="AE74" s="13" t="s">
        <v>197</v>
      </c>
      <c r="AF74" s="13" t="s">
        <v>736</v>
      </c>
      <c r="AG74" s="8" t="s">
        <v>1348</v>
      </c>
      <c r="AH74" s="11">
        <v>40800</v>
      </c>
      <c r="AI74" s="10">
        <v>545</v>
      </c>
      <c r="AJ74" s="12">
        <v>3000</v>
      </c>
      <c r="AK74" s="12">
        <f t="shared" si="4"/>
        <v>550.45871559633031</v>
      </c>
      <c r="AL74" s="12" t="str">
        <f t="shared" si="8"/>
        <v>Acima de 50%</v>
      </c>
      <c r="AM74" s="6" t="s">
        <v>816</v>
      </c>
      <c r="AN74" s="6" t="s">
        <v>618</v>
      </c>
      <c r="AO74" s="6" t="s">
        <v>699</v>
      </c>
      <c r="AP74" s="6">
        <v>0</v>
      </c>
      <c r="AQ74" s="6" t="s">
        <v>628</v>
      </c>
      <c r="AR74" s="6" t="s">
        <v>1400</v>
      </c>
      <c r="AS74" s="6">
        <v>1</v>
      </c>
      <c r="AT74" s="6">
        <v>0</v>
      </c>
      <c r="AU74" s="6">
        <v>0</v>
      </c>
      <c r="AV74" s="6">
        <v>0</v>
      </c>
      <c r="AW74" s="6" t="s">
        <v>817</v>
      </c>
      <c r="AX74" s="31">
        <v>2</v>
      </c>
      <c r="AY74" s="31">
        <v>2</v>
      </c>
      <c r="AZ74" s="31">
        <v>0</v>
      </c>
      <c r="BA74" s="12">
        <f t="shared" si="6"/>
        <v>26.333333333333332</v>
      </c>
      <c r="BB74" s="31">
        <v>12</v>
      </c>
      <c r="BC74" s="31">
        <v>0</v>
      </c>
      <c r="BD74" s="31">
        <v>0</v>
      </c>
      <c r="BE74" s="31">
        <v>0</v>
      </c>
      <c r="BF74" s="12">
        <f t="shared" si="7"/>
        <v>0</v>
      </c>
      <c r="BG74" s="6" t="s">
        <v>615</v>
      </c>
      <c r="BH74" s="6" t="s">
        <v>1393</v>
      </c>
      <c r="BI74" s="6">
        <v>0</v>
      </c>
      <c r="BJ74" s="6" t="s">
        <v>609</v>
      </c>
      <c r="BK74" s="6">
        <v>0</v>
      </c>
      <c r="BL74" s="6">
        <v>1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</row>
    <row r="75" spans="1:70" ht="66" customHeight="1" x14ac:dyDescent="0.3">
      <c r="A75" s="6">
        <v>344405</v>
      </c>
      <c r="B75" s="6" t="s">
        <v>24</v>
      </c>
      <c r="C75" s="15" t="s">
        <v>198</v>
      </c>
      <c r="D75" s="6" t="s">
        <v>33</v>
      </c>
      <c r="E75" s="6" t="s">
        <v>15</v>
      </c>
      <c r="F75" s="7">
        <v>42345</v>
      </c>
      <c r="G75" s="7">
        <v>42430</v>
      </c>
      <c r="H75" s="8" t="s">
        <v>101</v>
      </c>
      <c r="I75" s="3" t="s">
        <v>17</v>
      </c>
      <c r="J75" s="3" t="s">
        <v>18</v>
      </c>
      <c r="K75" t="s">
        <v>19</v>
      </c>
      <c r="L75" s="6" t="s">
        <v>695</v>
      </c>
      <c r="M75" s="14" t="s">
        <v>35</v>
      </c>
      <c r="N75" s="6" t="s">
        <v>657</v>
      </c>
      <c r="O75" s="6">
        <v>0</v>
      </c>
      <c r="P75" s="6" t="s">
        <v>729</v>
      </c>
      <c r="Q75" s="35">
        <v>0</v>
      </c>
      <c r="R75" s="35">
        <v>0</v>
      </c>
      <c r="S75" s="35">
        <v>0</v>
      </c>
      <c r="T75" s="35">
        <v>1</v>
      </c>
      <c r="U75" s="35">
        <v>0</v>
      </c>
      <c r="V75" s="35">
        <v>0</v>
      </c>
      <c r="W75" s="35">
        <v>0</v>
      </c>
      <c r="X75" s="6" t="s">
        <v>924</v>
      </c>
      <c r="Y75" s="6">
        <v>1</v>
      </c>
      <c r="Z75" s="6">
        <v>1</v>
      </c>
      <c r="AA75" s="6">
        <v>1</v>
      </c>
      <c r="AB75" s="6">
        <v>1</v>
      </c>
      <c r="AC75" s="6">
        <v>0</v>
      </c>
      <c r="AD75" s="14" t="s">
        <v>43</v>
      </c>
      <c r="AE75" s="13" t="s">
        <v>199</v>
      </c>
      <c r="AF75" s="13" t="s">
        <v>36</v>
      </c>
      <c r="AG75" s="8" t="s">
        <v>1357</v>
      </c>
      <c r="AH75" s="11">
        <v>41529</v>
      </c>
      <c r="AI75" s="10">
        <v>678</v>
      </c>
      <c r="AJ75" s="12">
        <v>85</v>
      </c>
      <c r="AK75" s="12">
        <f t="shared" si="4"/>
        <v>12.536873156342182</v>
      </c>
      <c r="AL75" s="12" t="str">
        <f t="shared" si="8"/>
        <v>10% a 25%</v>
      </c>
      <c r="AM75" s="6" t="s">
        <v>819</v>
      </c>
      <c r="AN75" s="6" t="s">
        <v>1454</v>
      </c>
      <c r="AO75" s="6" t="s">
        <v>701</v>
      </c>
      <c r="AP75" s="6">
        <v>1</v>
      </c>
      <c r="AQ75" s="6" t="s">
        <v>785</v>
      </c>
      <c r="AR75" s="6" t="s">
        <v>1401</v>
      </c>
      <c r="AS75" s="6">
        <v>1</v>
      </c>
      <c r="AT75" s="6">
        <v>0</v>
      </c>
      <c r="AU75" s="6">
        <v>0</v>
      </c>
      <c r="AV75" s="6">
        <v>0</v>
      </c>
      <c r="AW75" s="6" t="s">
        <v>818</v>
      </c>
      <c r="AX75" s="31">
        <v>0</v>
      </c>
      <c r="AY75" s="31">
        <v>4</v>
      </c>
      <c r="AZ75" s="31">
        <v>0</v>
      </c>
      <c r="BA75" s="12">
        <f t="shared" si="6"/>
        <v>4</v>
      </c>
      <c r="BB75" s="31">
        <v>3</v>
      </c>
      <c r="BC75" s="31">
        <v>0</v>
      </c>
      <c r="BD75" s="31">
        <v>0</v>
      </c>
      <c r="BE75" s="31">
        <v>0</v>
      </c>
      <c r="BF75" s="12">
        <f t="shared" si="7"/>
        <v>0</v>
      </c>
      <c r="BG75" s="6" t="s">
        <v>636</v>
      </c>
      <c r="BH75" s="6" t="s">
        <v>1394</v>
      </c>
      <c r="BI75" s="6">
        <v>1</v>
      </c>
      <c r="BJ75" s="6" t="s">
        <v>609</v>
      </c>
      <c r="BK75" s="6">
        <v>0</v>
      </c>
      <c r="BL75" s="6">
        <v>0</v>
      </c>
      <c r="BM75" s="6">
        <v>0</v>
      </c>
      <c r="BN75" s="6">
        <v>1</v>
      </c>
      <c r="BO75" s="6">
        <v>0</v>
      </c>
      <c r="BP75" s="6">
        <v>0</v>
      </c>
      <c r="BQ75" s="6">
        <v>0</v>
      </c>
      <c r="BR75" s="6">
        <v>0</v>
      </c>
    </row>
    <row r="76" spans="1:70" ht="63.6" customHeight="1" x14ac:dyDescent="0.3">
      <c r="A76" s="6">
        <v>683003</v>
      </c>
      <c r="B76" s="6" t="s">
        <v>46</v>
      </c>
      <c r="C76" s="15" t="s">
        <v>200</v>
      </c>
      <c r="D76" s="6" t="s">
        <v>201</v>
      </c>
      <c r="E76" s="6" t="s">
        <v>15</v>
      </c>
      <c r="F76" s="7">
        <v>42102</v>
      </c>
      <c r="G76" s="7">
        <v>42341</v>
      </c>
      <c r="H76" s="8" t="s">
        <v>94</v>
      </c>
      <c r="I76" s="3" t="s">
        <v>48</v>
      </c>
      <c r="J76" s="3" t="s">
        <v>18</v>
      </c>
      <c r="K76" t="s">
        <v>19</v>
      </c>
      <c r="L76" s="6" t="s">
        <v>695</v>
      </c>
      <c r="M76" s="14" t="s">
        <v>977</v>
      </c>
      <c r="N76" s="6" t="s">
        <v>703</v>
      </c>
      <c r="O76" s="6">
        <v>1</v>
      </c>
      <c r="P76" s="6" t="s">
        <v>823</v>
      </c>
      <c r="Q76" s="35">
        <v>0</v>
      </c>
      <c r="R76" s="35">
        <v>0</v>
      </c>
      <c r="S76" s="35">
        <v>0</v>
      </c>
      <c r="T76" s="35">
        <v>0</v>
      </c>
      <c r="U76" s="35">
        <v>1</v>
      </c>
      <c r="V76" s="35">
        <v>0</v>
      </c>
      <c r="W76" s="35">
        <v>0</v>
      </c>
      <c r="X76" s="6" t="s">
        <v>827</v>
      </c>
      <c r="Y76" s="6">
        <v>1</v>
      </c>
      <c r="Z76" s="6">
        <v>1</v>
      </c>
      <c r="AA76" s="6">
        <v>1</v>
      </c>
      <c r="AB76" s="6">
        <v>1</v>
      </c>
      <c r="AC76" s="6">
        <v>1</v>
      </c>
      <c r="AD76" s="14" t="s">
        <v>21</v>
      </c>
      <c r="AE76" s="13" t="s">
        <v>202</v>
      </c>
      <c r="AF76" s="13" t="s">
        <v>203</v>
      </c>
      <c r="AG76" s="8" t="s">
        <v>1357</v>
      </c>
      <c r="AH76" s="11">
        <v>41028</v>
      </c>
      <c r="AI76" s="10">
        <v>622</v>
      </c>
      <c r="AJ76" s="12">
        <v>72.599999999999994</v>
      </c>
      <c r="AK76" s="12">
        <f t="shared" si="4"/>
        <v>11.672025723472668</v>
      </c>
      <c r="AL76" s="12" t="str">
        <f t="shared" si="8"/>
        <v>10% a 25%</v>
      </c>
      <c r="AM76" s="6" t="s">
        <v>737</v>
      </c>
      <c r="AN76" s="6" t="s">
        <v>1454</v>
      </c>
      <c r="AO76" s="6" t="s">
        <v>699</v>
      </c>
      <c r="AP76" s="6">
        <v>0</v>
      </c>
      <c r="AQ76" s="6" t="s">
        <v>785</v>
      </c>
      <c r="AR76" s="6" t="s">
        <v>1401</v>
      </c>
      <c r="AS76" s="6">
        <v>1</v>
      </c>
      <c r="AT76" s="6">
        <v>0</v>
      </c>
      <c r="AU76" s="6">
        <v>0</v>
      </c>
      <c r="AV76" s="6">
        <v>0</v>
      </c>
      <c r="AW76" s="6" t="s">
        <v>821</v>
      </c>
      <c r="AX76" s="31">
        <v>0</v>
      </c>
      <c r="AY76" s="31">
        <v>0</v>
      </c>
      <c r="AZ76" s="31">
        <v>0</v>
      </c>
      <c r="BA76" s="12">
        <f t="shared" si="6"/>
        <v>0</v>
      </c>
      <c r="BB76" s="31">
        <v>50</v>
      </c>
      <c r="BC76" s="31">
        <v>2</v>
      </c>
      <c r="BD76" s="31">
        <v>10</v>
      </c>
      <c r="BE76" s="31">
        <v>0</v>
      </c>
      <c r="BF76" s="12">
        <f t="shared" si="7"/>
        <v>34.333333333333336</v>
      </c>
      <c r="BG76" s="6" t="s">
        <v>637</v>
      </c>
      <c r="BH76" s="6" t="s">
        <v>1394</v>
      </c>
      <c r="BI76" s="6">
        <v>0</v>
      </c>
      <c r="BJ76" s="6" t="s">
        <v>609</v>
      </c>
      <c r="BK76" s="6">
        <v>0</v>
      </c>
      <c r="BL76" s="6">
        <v>0</v>
      </c>
      <c r="BM76" s="6">
        <v>0</v>
      </c>
      <c r="BN76" s="6">
        <v>1</v>
      </c>
      <c r="BO76" s="6">
        <v>0</v>
      </c>
      <c r="BP76" s="6">
        <v>0</v>
      </c>
      <c r="BQ76" s="6">
        <v>0</v>
      </c>
      <c r="BR76" s="6">
        <v>0</v>
      </c>
    </row>
    <row r="77" spans="1:70" ht="69" customHeight="1" x14ac:dyDescent="0.3">
      <c r="A77" s="6">
        <v>611489</v>
      </c>
      <c r="B77" s="6" t="s">
        <v>13</v>
      </c>
      <c r="C77" s="15" t="s">
        <v>822</v>
      </c>
      <c r="D77" s="6" t="s">
        <v>64</v>
      </c>
      <c r="E77" s="6" t="s">
        <v>15</v>
      </c>
      <c r="F77" s="7">
        <v>41954</v>
      </c>
      <c r="G77" s="7">
        <v>42131</v>
      </c>
      <c r="H77" s="8" t="s">
        <v>118</v>
      </c>
      <c r="I77" s="3" t="s">
        <v>48</v>
      </c>
      <c r="J77" s="3" t="s">
        <v>18</v>
      </c>
      <c r="K77" t="s">
        <v>19</v>
      </c>
      <c r="L77" s="6" t="s">
        <v>696</v>
      </c>
      <c r="M77" s="14" t="s">
        <v>626</v>
      </c>
      <c r="N77" s="6" t="s">
        <v>657</v>
      </c>
      <c r="O77" s="6">
        <v>0</v>
      </c>
      <c r="P77" s="6" t="s">
        <v>782</v>
      </c>
      <c r="Q77" s="35">
        <v>0</v>
      </c>
      <c r="R77" s="35">
        <v>0</v>
      </c>
      <c r="S77" s="35">
        <v>1</v>
      </c>
      <c r="T77" s="35">
        <v>0</v>
      </c>
      <c r="U77" s="35">
        <v>0</v>
      </c>
      <c r="V77" s="35">
        <v>0</v>
      </c>
      <c r="W77" s="35">
        <v>0</v>
      </c>
      <c r="X77" s="6" t="s">
        <v>657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14" t="s">
        <v>43</v>
      </c>
      <c r="AE77" s="13" t="s">
        <v>204</v>
      </c>
      <c r="AF77" s="13" t="s">
        <v>194</v>
      </c>
      <c r="AG77" s="8" t="s">
        <v>194</v>
      </c>
      <c r="AH77" s="11">
        <v>41061</v>
      </c>
      <c r="AI77" s="10">
        <v>622</v>
      </c>
      <c r="AJ77" s="12">
        <v>100</v>
      </c>
      <c r="AK77" s="12">
        <f t="shared" si="4"/>
        <v>16.077170418006432</v>
      </c>
      <c r="AL77" s="12" t="str">
        <f t="shared" si="8"/>
        <v>10% a 25%</v>
      </c>
      <c r="AM77" s="6" t="s">
        <v>824</v>
      </c>
      <c r="AN77" s="6" t="s">
        <v>1455</v>
      </c>
      <c r="AO77" s="6" t="s">
        <v>699</v>
      </c>
      <c r="AP77" s="6">
        <v>0</v>
      </c>
      <c r="AQ77" s="6" t="s">
        <v>613</v>
      </c>
      <c r="AR77" s="6" t="s">
        <v>1399</v>
      </c>
      <c r="AS77" s="6">
        <v>1</v>
      </c>
      <c r="AT77" s="6">
        <v>0</v>
      </c>
      <c r="AU77" s="6">
        <v>0</v>
      </c>
      <c r="AV77" s="6">
        <v>0</v>
      </c>
      <c r="AW77" s="6" t="s">
        <v>686</v>
      </c>
      <c r="AX77" s="31">
        <v>1</v>
      </c>
      <c r="AY77" s="31">
        <v>0</v>
      </c>
      <c r="AZ77" s="31">
        <v>0</v>
      </c>
      <c r="BA77" s="12">
        <f t="shared" si="6"/>
        <v>12.166666666666666</v>
      </c>
      <c r="BB77" s="31">
        <v>10</v>
      </c>
      <c r="BC77" s="31">
        <v>0</v>
      </c>
      <c r="BD77" s="31">
        <v>0</v>
      </c>
      <c r="BE77" s="31">
        <v>0</v>
      </c>
      <c r="BF77" s="12">
        <f t="shared" si="7"/>
        <v>0</v>
      </c>
      <c r="BG77" s="6" t="s">
        <v>615</v>
      </c>
      <c r="BH77" s="6" t="s">
        <v>1393</v>
      </c>
      <c r="BI77" s="6">
        <v>0</v>
      </c>
      <c r="BJ77" s="6" t="s">
        <v>609</v>
      </c>
      <c r="BK77" s="6">
        <v>1</v>
      </c>
      <c r="BL77" s="6">
        <v>1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</row>
    <row r="78" spans="1:70" ht="68.400000000000006" customHeight="1" x14ac:dyDescent="0.3">
      <c r="A78" s="6">
        <v>886122</v>
      </c>
      <c r="B78" s="6" t="s">
        <v>46</v>
      </c>
      <c r="C78" s="15" t="s">
        <v>205</v>
      </c>
      <c r="D78" s="6" t="s">
        <v>14</v>
      </c>
      <c r="E78" s="6" t="s">
        <v>15</v>
      </c>
      <c r="F78" s="7">
        <v>42461</v>
      </c>
      <c r="G78" s="7">
        <v>42523</v>
      </c>
      <c r="H78" s="8" t="s">
        <v>16</v>
      </c>
      <c r="I78" s="3" t="s">
        <v>48</v>
      </c>
      <c r="J78" s="3" t="s">
        <v>18</v>
      </c>
      <c r="K78" t="s">
        <v>19</v>
      </c>
      <c r="L78" s="6" t="s">
        <v>695</v>
      </c>
      <c r="M78" s="14" t="s">
        <v>1009</v>
      </c>
      <c r="N78" s="6" t="s">
        <v>657</v>
      </c>
      <c r="O78" s="6">
        <v>0</v>
      </c>
      <c r="P78" s="6" t="s">
        <v>707</v>
      </c>
      <c r="Q78" s="35">
        <v>0</v>
      </c>
      <c r="R78" s="35">
        <v>1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  <c r="X78" s="6" t="s">
        <v>801</v>
      </c>
      <c r="Y78" s="6">
        <v>1</v>
      </c>
      <c r="Z78" s="6">
        <v>0</v>
      </c>
      <c r="AA78" s="6">
        <v>0</v>
      </c>
      <c r="AB78" s="6">
        <v>1</v>
      </c>
      <c r="AC78" s="6">
        <v>0</v>
      </c>
      <c r="AD78" s="14" t="s">
        <v>21</v>
      </c>
      <c r="AE78" s="13" t="s">
        <v>206</v>
      </c>
      <c r="AF78" s="13" t="s">
        <v>23</v>
      </c>
      <c r="AG78" s="8" t="s">
        <v>1357</v>
      </c>
      <c r="AH78" s="11">
        <v>41615</v>
      </c>
      <c r="AI78" s="10">
        <v>724</v>
      </c>
      <c r="AJ78" s="12">
        <v>115</v>
      </c>
      <c r="AK78" s="12">
        <f t="shared" si="4"/>
        <v>15.883977900552487</v>
      </c>
      <c r="AL78" s="12" t="str">
        <f t="shared" si="8"/>
        <v>10% a 25%</v>
      </c>
      <c r="AM78" s="6" t="s">
        <v>779</v>
      </c>
      <c r="AN78" s="6" t="s">
        <v>1453</v>
      </c>
      <c r="AO78" s="6" t="s">
        <v>701</v>
      </c>
      <c r="AP78" s="6">
        <v>1</v>
      </c>
      <c r="AQ78" s="6" t="s">
        <v>628</v>
      </c>
      <c r="AR78" s="6" t="s">
        <v>1400</v>
      </c>
      <c r="AS78" s="6">
        <v>1</v>
      </c>
      <c r="AT78" s="6">
        <v>0</v>
      </c>
      <c r="AU78" s="6">
        <v>0</v>
      </c>
      <c r="AV78" s="6">
        <v>0</v>
      </c>
      <c r="AW78" s="6" t="s">
        <v>652</v>
      </c>
      <c r="AX78" s="31">
        <v>2</v>
      </c>
      <c r="AY78" s="31">
        <v>0</v>
      </c>
      <c r="AZ78" s="31">
        <v>0</v>
      </c>
      <c r="BA78" s="12">
        <f t="shared" si="6"/>
        <v>24.333333333333332</v>
      </c>
      <c r="BB78" s="31">
        <v>10</v>
      </c>
      <c r="BC78" s="31">
        <v>0</v>
      </c>
      <c r="BD78" s="31">
        <v>0</v>
      </c>
      <c r="BE78" s="31">
        <v>0</v>
      </c>
      <c r="BF78" s="12">
        <f t="shared" si="7"/>
        <v>0</v>
      </c>
      <c r="BG78" s="6" t="s">
        <v>615</v>
      </c>
      <c r="BH78" s="6" t="s">
        <v>1393</v>
      </c>
      <c r="BI78" s="6">
        <v>0</v>
      </c>
      <c r="BJ78" s="6" t="s">
        <v>609</v>
      </c>
      <c r="BK78" s="6">
        <v>0</v>
      </c>
      <c r="BL78" s="6">
        <v>1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</row>
    <row r="79" spans="1:70" ht="61.2" customHeight="1" x14ac:dyDescent="0.3">
      <c r="A79" s="6">
        <v>75005</v>
      </c>
      <c r="B79" s="6" t="s">
        <v>207</v>
      </c>
      <c r="C79" s="15" t="s">
        <v>208</v>
      </c>
      <c r="D79" s="6" t="s">
        <v>64</v>
      </c>
      <c r="E79" s="6" t="s">
        <v>15</v>
      </c>
      <c r="F79" s="7">
        <v>42594</v>
      </c>
      <c r="G79" s="7">
        <v>42780</v>
      </c>
      <c r="H79" s="8" t="s">
        <v>59</v>
      </c>
      <c r="I79" s="3" t="s">
        <v>17</v>
      </c>
      <c r="J79" s="3" t="s">
        <v>18</v>
      </c>
      <c r="K79" t="s">
        <v>19</v>
      </c>
      <c r="L79" s="6" t="s">
        <v>696</v>
      </c>
      <c r="M79" s="14" t="s">
        <v>936</v>
      </c>
      <c r="N79" s="6" t="s">
        <v>703</v>
      </c>
      <c r="O79" s="6">
        <v>1</v>
      </c>
      <c r="P79" s="6" t="s">
        <v>826</v>
      </c>
      <c r="Q79" s="35">
        <v>0</v>
      </c>
      <c r="R79" s="35">
        <v>0</v>
      </c>
      <c r="S79" s="35">
        <v>0</v>
      </c>
      <c r="T79" s="35">
        <v>0</v>
      </c>
      <c r="U79" s="35">
        <v>1</v>
      </c>
      <c r="V79" s="35">
        <v>0</v>
      </c>
      <c r="W79" s="35">
        <v>0</v>
      </c>
      <c r="X79" s="6" t="s">
        <v>860</v>
      </c>
      <c r="Y79" s="6">
        <v>1</v>
      </c>
      <c r="Z79" s="6">
        <v>1</v>
      </c>
      <c r="AA79" s="6">
        <v>1</v>
      </c>
      <c r="AB79" s="6">
        <v>1</v>
      </c>
      <c r="AC79" s="6">
        <v>1</v>
      </c>
      <c r="AD79" s="14" t="s">
        <v>43</v>
      </c>
      <c r="AE79" s="13" t="s">
        <v>209</v>
      </c>
      <c r="AF79" s="13" t="s">
        <v>66</v>
      </c>
      <c r="AG79" s="8" t="s">
        <v>1357</v>
      </c>
      <c r="AH79" s="11">
        <v>41449</v>
      </c>
      <c r="AI79" s="10">
        <v>724</v>
      </c>
      <c r="AJ79" s="12">
        <v>61.8</v>
      </c>
      <c r="AK79" s="12">
        <f t="shared" si="4"/>
        <v>8.5359116022099446</v>
      </c>
      <c r="AL79" s="12" t="str">
        <f t="shared" si="8"/>
        <v>Até 10%</v>
      </c>
      <c r="AM79" s="6" t="s">
        <v>825</v>
      </c>
      <c r="AN79" s="6" t="s">
        <v>1454</v>
      </c>
      <c r="AO79" s="6" t="s">
        <v>699</v>
      </c>
      <c r="AP79" s="6">
        <v>0</v>
      </c>
      <c r="AQ79" s="6" t="s">
        <v>828</v>
      </c>
      <c r="AR79" s="6" t="s">
        <v>1399</v>
      </c>
      <c r="AS79" s="6">
        <v>1</v>
      </c>
      <c r="AT79" s="6">
        <v>0</v>
      </c>
      <c r="AU79" s="6">
        <v>1</v>
      </c>
      <c r="AV79" s="6">
        <v>0</v>
      </c>
      <c r="AW79" s="6">
        <v>0</v>
      </c>
      <c r="AX79" s="31">
        <v>0</v>
      </c>
      <c r="AY79" s="31">
        <v>0</v>
      </c>
      <c r="AZ79" s="31">
        <v>0</v>
      </c>
      <c r="BA79" s="12">
        <f t="shared" si="6"/>
        <v>0</v>
      </c>
      <c r="BB79" s="31">
        <v>0</v>
      </c>
      <c r="BC79" s="31">
        <v>0</v>
      </c>
      <c r="BD79" s="31">
        <v>0</v>
      </c>
      <c r="BE79" s="31">
        <v>0</v>
      </c>
      <c r="BF79" s="12">
        <f t="shared" si="7"/>
        <v>0</v>
      </c>
      <c r="BG79" s="6">
        <v>0</v>
      </c>
      <c r="BH79" s="6">
        <v>0</v>
      </c>
      <c r="BI79" s="6">
        <v>0</v>
      </c>
      <c r="BJ79" s="6" t="s">
        <v>620</v>
      </c>
      <c r="BK79" s="6">
        <v>0</v>
      </c>
      <c r="BL79" s="6">
        <v>0</v>
      </c>
      <c r="BM79" s="6">
        <v>0</v>
      </c>
      <c r="BN79" s="6">
        <v>1</v>
      </c>
      <c r="BO79" s="6">
        <v>0</v>
      </c>
      <c r="BP79" s="6">
        <v>0</v>
      </c>
      <c r="BQ79" s="6">
        <v>0</v>
      </c>
      <c r="BR79" s="6">
        <v>0</v>
      </c>
    </row>
    <row r="80" spans="1:70" ht="70.2" customHeight="1" x14ac:dyDescent="0.3">
      <c r="A80" s="6">
        <v>1503900</v>
      </c>
      <c r="B80" s="6" t="s">
        <v>26</v>
      </c>
      <c r="C80" s="15" t="s">
        <v>210</v>
      </c>
      <c r="D80" s="6" t="s">
        <v>64</v>
      </c>
      <c r="E80" s="6" t="s">
        <v>15</v>
      </c>
      <c r="F80" s="7">
        <v>41999</v>
      </c>
      <c r="G80" s="7">
        <v>42090</v>
      </c>
      <c r="H80" s="8" t="s">
        <v>38</v>
      </c>
      <c r="I80" s="3" t="s">
        <v>48</v>
      </c>
      <c r="J80" s="3" t="s">
        <v>18</v>
      </c>
      <c r="K80" t="s">
        <v>19</v>
      </c>
      <c r="L80" s="6" t="s">
        <v>696</v>
      </c>
      <c r="M80" s="14" t="s">
        <v>1008</v>
      </c>
      <c r="N80" s="6" t="s">
        <v>657</v>
      </c>
      <c r="O80" s="6">
        <v>0</v>
      </c>
      <c r="P80" s="6" t="s">
        <v>709</v>
      </c>
      <c r="Q80" s="35">
        <v>0</v>
      </c>
      <c r="R80" s="35">
        <v>0</v>
      </c>
      <c r="S80" s="35">
        <v>1</v>
      </c>
      <c r="T80" s="35">
        <v>0</v>
      </c>
      <c r="U80" s="35">
        <v>0</v>
      </c>
      <c r="V80" s="35">
        <v>0</v>
      </c>
      <c r="W80" s="35">
        <v>0</v>
      </c>
      <c r="X80" s="6" t="s">
        <v>801</v>
      </c>
      <c r="Y80" s="6">
        <v>1</v>
      </c>
      <c r="Z80" s="6">
        <v>0</v>
      </c>
      <c r="AA80" s="6">
        <v>0</v>
      </c>
      <c r="AB80" s="6">
        <v>1</v>
      </c>
      <c r="AC80" s="6">
        <v>0</v>
      </c>
      <c r="AD80" s="14" t="s">
        <v>21</v>
      </c>
      <c r="AE80" s="13" t="s">
        <v>211</v>
      </c>
      <c r="AF80" s="13" t="s">
        <v>830</v>
      </c>
      <c r="AG80" s="8" t="s">
        <v>1357</v>
      </c>
      <c r="AH80" s="11">
        <v>41158</v>
      </c>
      <c r="AI80" s="10">
        <v>622</v>
      </c>
      <c r="AJ80" s="12">
        <v>60</v>
      </c>
      <c r="AK80" s="12">
        <f t="shared" si="4"/>
        <v>9.6463022508038581</v>
      </c>
      <c r="AL80" s="12" t="str">
        <f t="shared" si="8"/>
        <v>Até 10%</v>
      </c>
      <c r="AM80" s="6" t="s">
        <v>831</v>
      </c>
      <c r="AN80" s="6" t="s">
        <v>1454</v>
      </c>
      <c r="AO80" s="6" t="s">
        <v>610</v>
      </c>
      <c r="AP80" s="6">
        <v>1</v>
      </c>
      <c r="AQ80" s="6" t="s">
        <v>634</v>
      </c>
      <c r="AR80" s="6" t="s">
        <v>1400</v>
      </c>
      <c r="AS80" s="6">
        <v>1</v>
      </c>
      <c r="AT80" s="6">
        <v>0</v>
      </c>
      <c r="AU80" s="6">
        <v>0</v>
      </c>
      <c r="AV80" s="6">
        <v>0</v>
      </c>
      <c r="AW80" s="6" t="s">
        <v>1377</v>
      </c>
      <c r="AX80" s="31">
        <v>3</v>
      </c>
      <c r="AY80" s="31">
        <v>3</v>
      </c>
      <c r="AZ80" s="31">
        <v>0</v>
      </c>
      <c r="BA80" s="12">
        <f t="shared" si="6"/>
        <v>39.5</v>
      </c>
      <c r="BB80" s="31">
        <v>19</v>
      </c>
      <c r="BC80" s="31">
        <v>0</v>
      </c>
      <c r="BD80" s="31">
        <v>0</v>
      </c>
      <c r="BE80" s="31">
        <v>0</v>
      </c>
      <c r="BF80" s="12">
        <f t="shared" si="7"/>
        <v>0</v>
      </c>
      <c r="BG80" s="6" t="s">
        <v>1374</v>
      </c>
      <c r="BH80" s="6" t="s">
        <v>1393</v>
      </c>
      <c r="BI80" s="6">
        <v>0</v>
      </c>
      <c r="BJ80" s="6" t="s">
        <v>617</v>
      </c>
      <c r="BK80" s="6">
        <v>1</v>
      </c>
      <c r="BL80" s="6">
        <v>1</v>
      </c>
      <c r="BM80" s="6">
        <v>0</v>
      </c>
      <c r="BN80" s="6">
        <v>0</v>
      </c>
      <c r="BO80" s="6" t="s">
        <v>1032</v>
      </c>
      <c r="BP80" s="6" t="s">
        <v>1461</v>
      </c>
      <c r="BQ80" s="6" t="s">
        <v>1459</v>
      </c>
      <c r="BR80" s="6" t="s">
        <v>1461</v>
      </c>
    </row>
    <row r="81" spans="1:70" ht="65.400000000000006" customHeight="1" x14ac:dyDescent="0.3">
      <c r="A81" s="6">
        <v>944488</v>
      </c>
      <c r="B81" s="6" t="s">
        <v>46</v>
      </c>
      <c r="C81" s="15" t="s">
        <v>213</v>
      </c>
      <c r="D81" s="6" t="s">
        <v>64</v>
      </c>
      <c r="E81" s="6" t="s">
        <v>15</v>
      </c>
      <c r="F81" s="7">
        <v>42537</v>
      </c>
      <c r="G81" s="7">
        <v>42545</v>
      </c>
      <c r="H81" s="8" t="s">
        <v>42</v>
      </c>
      <c r="I81" s="3" t="s">
        <v>48</v>
      </c>
      <c r="J81" s="3" t="s">
        <v>18</v>
      </c>
      <c r="K81" t="s">
        <v>19</v>
      </c>
      <c r="L81" s="6" t="s">
        <v>696</v>
      </c>
      <c r="M81" s="14" t="s">
        <v>626</v>
      </c>
      <c r="N81" s="6" t="s">
        <v>657</v>
      </c>
      <c r="O81" s="6">
        <v>0</v>
      </c>
      <c r="P81" s="6" t="s">
        <v>707</v>
      </c>
      <c r="Q81" s="35">
        <v>0</v>
      </c>
      <c r="R81" s="35">
        <v>1</v>
      </c>
      <c r="S81" s="35">
        <v>0</v>
      </c>
      <c r="T81" s="35">
        <v>0</v>
      </c>
      <c r="U81" s="35">
        <v>0</v>
      </c>
      <c r="V81" s="35">
        <v>0</v>
      </c>
      <c r="W81" s="35">
        <v>0</v>
      </c>
      <c r="X81" s="6" t="s">
        <v>657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14" t="s">
        <v>21</v>
      </c>
      <c r="AE81" s="13" t="s">
        <v>214</v>
      </c>
      <c r="AF81" s="13" t="s">
        <v>66</v>
      </c>
      <c r="AG81" s="8" t="s">
        <v>1357</v>
      </c>
      <c r="AH81" s="11">
        <v>39791</v>
      </c>
      <c r="AI81" s="10">
        <v>415</v>
      </c>
      <c r="AJ81" s="12">
        <v>28</v>
      </c>
      <c r="AK81" s="12">
        <f t="shared" si="4"/>
        <v>6.7469879518072293</v>
      </c>
      <c r="AL81" s="12" t="str">
        <f t="shared" si="8"/>
        <v>Até 10%</v>
      </c>
      <c r="AM81" s="6" t="s">
        <v>832</v>
      </c>
      <c r="AN81" s="6" t="s">
        <v>1454</v>
      </c>
      <c r="AO81" s="6" t="s">
        <v>699</v>
      </c>
      <c r="AP81" s="6">
        <v>0</v>
      </c>
      <c r="AQ81" s="6" t="s">
        <v>682</v>
      </c>
      <c r="AR81" s="6" t="s">
        <v>1400</v>
      </c>
      <c r="AS81" s="6">
        <v>1</v>
      </c>
      <c r="AT81" s="6">
        <v>0</v>
      </c>
      <c r="AU81" s="6">
        <v>0</v>
      </c>
      <c r="AV81" s="6">
        <v>0</v>
      </c>
      <c r="AW81" s="6">
        <v>0</v>
      </c>
      <c r="AX81" s="31">
        <v>0</v>
      </c>
      <c r="AY81" s="31">
        <v>0</v>
      </c>
      <c r="AZ81" s="31">
        <v>0</v>
      </c>
      <c r="BA81" s="12">
        <f t="shared" si="6"/>
        <v>0</v>
      </c>
      <c r="BB81" s="31">
        <v>0</v>
      </c>
      <c r="BC81" s="31">
        <v>0</v>
      </c>
      <c r="BD81" s="31">
        <v>0</v>
      </c>
      <c r="BE81" s="31">
        <v>0</v>
      </c>
      <c r="BF81" s="12">
        <f t="shared" si="7"/>
        <v>0</v>
      </c>
      <c r="BG81" s="6">
        <v>0</v>
      </c>
      <c r="BH81" s="6">
        <v>0</v>
      </c>
      <c r="BI81" s="6">
        <v>0</v>
      </c>
      <c r="BJ81" s="6" t="s">
        <v>620</v>
      </c>
      <c r="BK81" s="6">
        <v>0</v>
      </c>
      <c r="BL81" s="6">
        <v>1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</row>
    <row r="82" spans="1:70" ht="64.2" customHeight="1" x14ac:dyDescent="0.3">
      <c r="A82" s="6">
        <v>1505092</v>
      </c>
      <c r="B82" s="6" t="s">
        <v>26</v>
      </c>
      <c r="C82" s="15" t="s">
        <v>215</v>
      </c>
      <c r="D82" s="6" t="s">
        <v>64</v>
      </c>
      <c r="E82" s="6" t="s">
        <v>15</v>
      </c>
      <c r="F82" s="7">
        <v>42012</v>
      </c>
      <c r="G82" s="7">
        <v>42053</v>
      </c>
      <c r="H82" s="8" t="s">
        <v>16</v>
      </c>
      <c r="I82" s="3" t="s">
        <v>48</v>
      </c>
      <c r="J82" s="3" t="s">
        <v>18</v>
      </c>
      <c r="K82" t="s">
        <v>19</v>
      </c>
      <c r="L82" s="6" t="s">
        <v>695</v>
      </c>
      <c r="M82" s="14" t="s">
        <v>724</v>
      </c>
      <c r="N82" s="6" t="s">
        <v>657</v>
      </c>
      <c r="O82" s="6">
        <v>0</v>
      </c>
      <c r="P82" s="6" t="s">
        <v>793</v>
      </c>
      <c r="Q82" s="35">
        <v>1</v>
      </c>
      <c r="R82" s="35">
        <v>0</v>
      </c>
      <c r="S82" s="35">
        <v>0</v>
      </c>
      <c r="T82" s="35">
        <v>0</v>
      </c>
      <c r="U82" s="35">
        <v>0</v>
      </c>
      <c r="V82" s="35">
        <v>0</v>
      </c>
      <c r="W82" s="35">
        <v>0</v>
      </c>
      <c r="X82" s="6" t="s">
        <v>833</v>
      </c>
      <c r="Y82" s="6">
        <v>1</v>
      </c>
      <c r="Z82" s="6">
        <v>1</v>
      </c>
      <c r="AA82" s="6">
        <v>0</v>
      </c>
      <c r="AB82" s="6">
        <v>0</v>
      </c>
      <c r="AC82" s="6">
        <v>1</v>
      </c>
      <c r="AD82" s="14" t="s">
        <v>21</v>
      </c>
      <c r="AE82" s="13" t="s">
        <v>216</v>
      </c>
      <c r="AF82" s="13" t="s">
        <v>66</v>
      </c>
      <c r="AG82" s="8" t="s">
        <v>1357</v>
      </c>
      <c r="AH82" s="11">
        <v>40393</v>
      </c>
      <c r="AI82" s="10">
        <v>510</v>
      </c>
      <c r="AJ82" s="12">
        <v>200</v>
      </c>
      <c r="AK82" s="12">
        <f>IFERROR((AJ82/AI82)*100,"")</f>
        <v>39.215686274509807</v>
      </c>
      <c r="AL82" s="12" t="str">
        <f t="shared" si="8"/>
        <v>25% a 50%</v>
      </c>
      <c r="AM82" s="6" t="s">
        <v>655</v>
      </c>
      <c r="AN82" s="6" t="s">
        <v>655</v>
      </c>
      <c r="AO82" s="6" t="s">
        <v>701</v>
      </c>
      <c r="AP82" s="6">
        <v>1</v>
      </c>
      <c r="AQ82" s="6" t="s">
        <v>777</v>
      </c>
      <c r="AR82" s="6" t="s">
        <v>1401</v>
      </c>
      <c r="AS82" s="6">
        <v>0</v>
      </c>
      <c r="AT82" s="6">
        <v>0</v>
      </c>
      <c r="AU82" s="6">
        <v>0</v>
      </c>
      <c r="AV82" s="6">
        <v>0</v>
      </c>
      <c r="AW82" s="6" t="s">
        <v>834</v>
      </c>
      <c r="AX82" s="31">
        <v>0</v>
      </c>
      <c r="AY82" s="31">
        <v>0</v>
      </c>
      <c r="AZ82" s="31">
        <v>0</v>
      </c>
      <c r="BA82" s="12">
        <f t="shared" si="6"/>
        <v>0</v>
      </c>
      <c r="BB82" s="31">
        <v>2</v>
      </c>
      <c r="BC82" s="31">
        <v>0</v>
      </c>
      <c r="BD82" s="31">
        <v>2</v>
      </c>
      <c r="BE82" s="31">
        <v>20</v>
      </c>
      <c r="BF82" s="12">
        <f t="shared" si="7"/>
        <v>2.6666666666666665</v>
      </c>
      <c r="BG82" s="6" t="s">
        <v>636</v>
      </c>
      <c r="BH82" s="6" t="s">
        <v>1394</v>
      </c>
      <c r="BI82" s="6">
        <v>1</v>
      </c>
      <c r="BJ82" s="6" t="s">
        <v>609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</row>
    <row r="83" spans="1:70" ht="65.400000000000006" customHeight="1" x14ac:dyDescent="0.3">
      <c r="A83" s="6">
        <v>1513100</v>
      </c>
      <c r="B83" s="6" t="s">
        <v>26</v>
      </c>
      <c r="C83" s="15" t="s">
        <v>217</v>
      </c>
      <c r="D83" s="6" t="s">
        <v>41</v>
      </c>
      <c r="E83" s="6" t="s">
        <v>15</v>
      </c>
      <c r="F83" s="7">
        <v>42048</v>
      </c>
      <c r="G83" s="7">
        <v>42618</v>
      </c>
      <c r="H83" s="8" t="s">
        <v>38</v>
      </c>
      <c r="I83" s="3" t="s">
        <v>17</v>
      </c>
      <c r="J83" s="3" t="s">
        <v>18</v>
      </c>
      <c r="K83" t="s">
        <v>19</v>
      </c>
      <c r="L83" s="6" t="s">
        <v>696</v>
      </c>
      <c r="M83" s="14" t="s">
        <v>626</v>
      </c>
      <c r="N83" s="6" t="s">
        <v>657</v>
      </c>
      <c r="O83" s="6">
        <v>0</v>
      </c>
      <c r="P83" s="6" t="s">
        <v>836</v>
      </c>
      <c r="Q83" s="35">
        <v>1</v>
      </c>
      <c r="R83" s="35">
        <v>0</v>
      </c>
      <c r="S83" s="35">
        <v>0</v>
      </c>
      <c r="T83" s="35">
        <v>0</v>
      </c>
      <c r="U83" s="35">
        <v>0</v>
      </c>
      <c r="V83" s="35">
        <v>0</v>
      </c>
      <c r="W83" s="35">
        <v>0</v>
      </c>
      <c r="X83" s="6" t="s">
        <v>801</v>
      </c>
      <c r="Y83" s="6">
        <v>1</v>
      </c>
      <c r="Z83" s="6">
        <v>0</v>
      </c>
      <c r="AA83" s="6">
        <v>0</v>
      </c>
      <c r="AB83" s="6">
        <v>1</v>
      </c>
      <c r="AC83" s="6">
        <v>0</v>
      </c>
      <c r="AD83" s="14" t="s">
        <v>21</v>
      </c>
      <c r="AE83" s="13" t="s">
        <v>218</v>
      </c>
      <c r="AF83" s="13" t="s">
        <v>45</v>
      </c>
      <c r="AG83" s="8" t="s">
        <v>1357</v>
      </c>
      <c r="AH83" s="11">
        <v>41221</v>
      </c>
      <c r="AI83" s="10">
        <v>622</v>
      </c>
      <c r="AJ83" s="12">
        <v>150</v>
      </c>
      <c r="AK83" s="12">
        <f>IFERROR((AJ83/AI83)*100,"")</f>
        <v>24.115755627009648</v>
      </c>
      <c r="AL83" s="12" t="str">
        <f t="shared" si="8"/>
        <v>10% a 25%</v>
      </c>
      <c r="AM83" s="6" t="s">
        <v>837</v>
      </c>
      <c r="AN83" s="6" t="s">
        <v>1454</v>
      </c>
      <c r="AO83" s="6" t="s">
        <v>699</v>
      </c>
      <c r="AP83" s="6">
        <v>0</v>
      </c>
      <c r="AQ83" s="6" t="s">
        <v>785</v>
      </c>
      <c r="AR83" s="6" t="s">
        <v>1401</v>
      </c>
      <c r="AS83" s="6">
        <v>1</v>
      </c>
      <c r="AT83" s="6">
        <v>0</v>
      </c>
      <c r="AU83" s="6">
        <v>0</v>
      </c>
      <c r="AV83" s="6">
        <v>0</v>
      </c>
      <c r="AW83" s="6" t="s">
        <v>644</v>
      </c>
      <c r="AX83" s="31">
        <v>0</v>
      </c>
      <c r="AY83" s="31">
        <v>0</v>
      </c>
      <c r="AZ83" s="31">
        <v>0</v>
      </c>
      <c r="BA83" s="12">
        <f t="shared" si="6"/>
        <v>0</v>
      </c>
      <c r="BB83" s="31">
        <v>10</v>
      </c>
      <c r="BC83" s="31">
        <v>0</v>
      </c>
      <c r="BD83" s="31">
        <v>0</v>
      </c>
      <c r="BE83" s="31">
        <v>0</v>
      </c>
      <c r="BF83" s="12">
        <f t="shared" si="7"/>
        <v>0</v>
      </c>
      <c r="BG83" s="6">
        <v>0</v>
      </c>
      <c r="BH83" s="6">
        <v>0</v>
      </c>
      <c r="BI83" s="6">
        <v>0</v>
      </c>
      <c r="BJ83" s="6" t="s">
        <v>609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</row>
    <row r="84" spans="1:70" ht="57.6" customHeight="1" x14ac:dyDescent="0.3">
      <c r="A84" s="6">
        <v>311358</v>
      </c>
      <c r="B84" s="6" t="s">
        <v>24</v>
      </c>
      <c r="C84" s="15" t="s">
        <v>219</v>
      </c>
      <c r="D84" s="6" t="s">
        <v>41</v>
      </c>
      <c r="E84" s="6" t="s">
        <v>15</v>
      </c>
      <c r="F84" s="7">
        <v>41976</v>
      </c>
      <c r="G84" s="7">
        <v>42082</v>
      </c>
      <c r="H84" s="8" t="s">
        <v>16</v>
      </c>
      <c r="I84" s="3" t="s">
        <v>48</v>
      </c>
      <c r="J84" s="3" t="s">
        <v>18</v>
      </c>
      <c r="K84" t="s">
        <v>19</v>
      </c>
      <c r="L84" s="6" t="s">
        <v>695</v>
      </c>
      <c r="M84" s="14" t="s">
        <v>35</v>
      </c>
      <c r="N84" s="6" t="s">
        <v>657</v>
      </c>
      <c r="O84" s="6">
        <v>0</v>
      </c>
      <c r="P84" s="6" t="s">
        <v>840</v>
      </c>
      <c r="Q84" s="35">
        <v>1</v>
      </c>
      <c r="R84" s="35">
        <v>0</v>
      </c>
      <c r="S84" s="35">
        <v>0</v>
      </c>
      <c r="T84" s="35">
        <v>1</v>
      </c>
      <c r="U84" s="36"/>
      <c r="V84" s="36"/>
      <c r="W84" s="36"/>
      <c r="X84" s="6" t="s">
        <v>801</v>
      </c>
      <c r="Y84" s="6">
        <v>1</v>
      </c>
      <c r="Z84" s="6">
        <v>0</v>
      </c>
      <c r="AA84" s="6">
        <v>0</v>
      </c>
      <c r="AB84" s="6">
        <v>1</v>
      </c>
      <c r="AC84" s="6">
        <v>0</v>
      </c>
      <c r="AD84" s="14" t="s">
        <v>43</v>
      </c>
      <c r="AE84" s="13" t="s">
        <v>220</v>
      </c>
      <c r="AF84" s="13" t="s">
        <v>45</v>
      </c>
      <c r="AG84" s="8" t="s">
        <v>1357</v>
      </c>
      <c r="AH84" s="11">
        <v>40435</v>
      </c>
      <c r="AI84" s="10">
        <v>510</v>
      </c>
      <c r="AJ84" s="12">
        <v>450</v>
      </c>
      <c r="AK84" s="12">
        <f>IFERROR((AJ84/AI84)*100,"")</f>
        <v>88.235294117647058</v>
      </c>
      <c r="AL84" s="12" t="str">
        <f t="shared" si="8"/>
        <v>Acima de 50%</v>
      </c>
      <c r="AM84" s="6" t="s">
        <v>841</v>
      </c>
      <c r="AN84" s="6" t="s">
        <v>1454</v>
      </c>
      <c r="AO84" s="6" t="s">
        <v>699</v>
      </c>
      <c r="AP84" s="6">
        <v>0</v>
      </c>
      <c r="AQ84" s="6" t="s">
        <v>838</v>
      </c>
      <c r="AR84" s="6" t="s">
        <v>1403</v>
      </c>
      <c r="AS84" s="6">
        <v>0</v>
      </c>
      <c r="AT84" s="6">
        <v>0</v>
      </c>
      <c r="AU84" s="6">
        <v>0</v>
      </c>
      <c r="AV84" s="6">
        <v>0</v>
      </c>
      <c r="AW84" s="6" t="s">
        <v>839</v>
      </c>
      <c r="AX84" s="31">
        <v>0</v>
      </c>
      <c r="AY84" s="31">
        <v>0</v>
      </c>
      <c r="AZ84" s="31">
        <v>0</v>
      </c>
      <c r="BA84" s="12">
        <f t="shared" si="6"/>
        <v>0</v>
      </c>
      <c r="BB84" s="31">
        <v>0</v>
      </c>
      <c r="BC84" s="31">
        <v>0</v>
      </c>
      <c r="BD84" s="31">
        <v>8</v>
      </c>
      <c r="BE84" s="31">
        <v>0</v>
      </c>
      <c r="BF84" s="12">
        <f t="shared" si="7"/>
        <v>8</v>
      </c>
      <c r="BG84" s="6" t="s">
        <v>636</v>
      </c>
      <c r="BH84" s="6" t="s">
        <v>1394</v>
      </c>
      <c r="BI84" s="6">
        <v>1</v>
      </c>
      <c r="BJ84" s="6" t="s">
        <v>609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</row>
    <row r="85" spans="1:70" ht="60" customHeight="1" x14ac:dyDescent="0.3">
      <c r="A85" s="6">
        <v>1471784</v>
      </c>
      <c r="B85" s="6" t="s">
        <v>26</v>
      </c>
      <c r="C85" s="15" t="s">
        <v>221</v>
      </c>
      <c r="D85" s="6" t="s">
        <v>64</v>
      </c>
      <c r="E85" s="6" t="s">
        <v>15</v>
      </c>
      <c r="F85" s="7">
        <v>41857</v>
      </c>
      <c r="G85" s="7">
        <v>42093</v>
      </c>
      <c r="H85" s="8" t="s">
        <v>16</v>
      </c>
      <c r="I85" s="3" t="s">
        <v>17</v>
      </c>
      <c r="J85" s="3" t="s">
        <v>18</v>
      </c>
      <c r="K85" t="s">
        <v>19</v>
      </c>
      <c r="L85" s="6" t="s">
        <v>695</v>
      </c>
      <c r="M85" s="14" t="s">
        <v>724</v>
      </c>
      <c r="N85" s="6" t="s">
        <v>657</v>
      </c>
      <c r="O85" s="6">
        <v>0</v>
      </c>
      <c r="P85" s="6" t="s">
        <v>793</v>
      </c>
      <c r="Q85" s="35">
        <v>1</v>
      </c>
      <c r="R85" s="35">
        <v>0</v>
      </c>
      <c r="S85" s="35">
        <v>1</v>
      </c>
      <c r="T85" s="35">
        <v>0</v>
      </c>
      <c r="U85" s="36"/>
      <c r="V85" s="36"/>
      <c r="W85" s="36"/>
      <c r="X85" s="6" t="s">
        <v>833</v>
      </c>
      <c r="Y85" s="6">
        <v>1</v>
      </c>
      <c r="Z85" s="6">
        <v>1</v>
      </c>
      <c r="AA85" s="6">
        <v>0</v>
      </c>
      <c r="AB85" s="6">
        <v>0</v>
      </c>
      <c r="AC85" s="6">
        <v>1</v>
      </c>
      <c r="AD85" s="14" t="s">
        <v>21</v>
      </c>
      <c r="AE85" s="13" t="s">
        <v>222</v>
      </c>
      <c r="AF85" s="13" t="s">
        <v>66</v>
      </c>
      <c r="AG85" s="8" t="s">
        <v>1357</v>
      </c>
      <c r="AH85" s="11">
        <v>40274</v>
      </c>
      <c r="AI85" s="10">
        <v>510</v>
      </c>
      <c r="AJ85" s="12">
        <v>220</v>
      </c>
      <c r="AK85" s="12">
        <f>IFERROR((AJ85/AI85)*100,"")</f>
        <v>43.137254901960787</v>
      </c>
      <c r="AL85" s="12" t="str">
        <f t="shared" si="8"/>
        <v>25% a 50%</v>
      </c>
      <c r="AM85" s="6" t="s">
        <v>786</v>
      </c>
      <c r="AN85" s="6" t="s">
        <v>1455</v>
      </c>
      <c r="AO85" s="6" t="s">
        <v>699</v>
      </c>
      <c r="AP85" s="6">
        <v>0</v>
      </c>
      <c r="AQ85" s="6" t="s">
        <v>785</v>
      </c>
      <c r="AR85" s="6" t="s">
        <v>1401</v>
      </c>
      <c r="AS85" s="6">
        <v>1</v>
      </c>
      <c r="AT85" s="6">
        <v>0</v>
      </c>
      <c r="AU85" s="6">
        <v>0</v>
      </c>
      <c r="AV85" s="6">
        <v>0</v>
      </c>
      <c r="AW85" s="6" t="s">
        <v>842</v>
      </c>
      <c r="AX85" s="31">
        <v>0</v>
      </c>
      <c r="AY85" s="31">
        <v>0</v>
      </c>
      <c r="AZ85" s="31">
        <v>0</v>
      </c>
      <c r="BA85" s="12">
        <f t="shared" si="6"/>
        <v>0</v>
      </c>
      <c r="BB85" s="31">
        <v>10</v>
      </c>
      <c r="BC85" s="31">
        <v>1</v>
      </c>
      <c r="BD85" s="31">
        <v>0</v>
      </c>
      <c r="BE85" s="31">
        <v>0</v>
      </c>
      <c r="BF85" s="12">
        <f t="shared" si="7"/>
        <v>12.166666666666666</v>
      </c>
      <c r="BG85" s="6" t="s">
        <v>636</v>
      </c>
      <c r="BH85" s="6" t="s">
        <v>1394</v>
      </c>
      <c r="BI85" s="6">
        <v>1</v>
      </c>
      <c r="BJ85" s="6" t="s">
        <v>609</v>
      </c>
      <c r="BK85" s="6">
        <v>0</v>
      </c>
      <c r="BL85" s="6">
        <v>0</v>
      </c>
      <c r="BM85" s="6">
        <v>0</v>
      </c>
      <c r="BN85" s="6">
        <v>1</v>
      </c>
      <c r="BO85" s="6">
        <v>0</v>
      </c>
      <c r="BP85" s="6">
        <v>0</v>
      </c>
      <c r="BQ85" s="6">
        <v>0</v>
      </c>
      <c r="BR85" s="6">
        <v>0</v>
      </c>
    </row>
    <row r="86" spans="1:70" ht="64.2" customHeight="1" x14ac:dyDescent="0.3">
      <c r="A86" s="6">
        <v>1524468</v>
      </c>
      <c r="B86" s="6" t="s">
        <v>26</v>
      </c>
      <c r="C86" s="15" t="s">
        <v>223</v>
      </c>
      <c r="D86" s="6" t="s">
        <v>64</v>
      </c>
      <c r="E86" s="6" t="s">
        <v>15</v>
      </c>
      <c r="F86" s="7">
        <v>42104</v>
      </c>
      <c r="G86" s="7">
        <v>42531</v>
      </c>
      <c r="H86" s="8" t="s">
        <v>42</v>
      </c>
      <c r="I86" s="3" t="s">
        <v>48</v>
      </c>
      <c r="J86" s="3" t="s">
        <v>18</v>
      </c>
      <c r="K86" t="s">
        <v>19</v>
      </c>
      <c r="L86" s="6" t="s">
        <v>696</v>
      </c>
      <c r="M86" s="14" t="s">
        <v>626</v>
      </c>
      <c r="N86" s="6" t="s">
        <v>657</v>
      </c>
      <c r="O86" s="6">
        <v>0</v>
      </c>
      <c r="P86" s="6" t="s">
        <v>843</v>
      </c>
      <c r="Q86" s="35">
        <v>1</v>
      </c>
      <c r="R86" s="35">
        <v>0</v>
      </c>
      <c r="S86" s="35">
        <v>1</v>
      </c>
      <c r="T86" s="35">
        <v>0</v>
      </c>
      <c r="U86" s="36"/>
      <c r="V86" s="36"/>
      <c r="W86" s="36"/>
      <c r="X86" s="6" t="s">
        <v>657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14" t="s">
        <v>21</v>
      </c>
      <c r="AE86" s="13" t="s">
        <v>224</v>
      </c>
      <c r="AF86" s="13" t="s">
        <v>66</v>
      </c>
      <c r="AG86" s="8" t="s">
        <v>1357</v>
      </c>
      <c r="AH86" s="11">
        <v>39470</v>
      </c>
      <c r="AI86" s="10">
        <v>415</v>
      </c>
      <c r="AJ86" s="12">
        <v>79.8</v>
      </c>
      <c r="AK86" s="12">
        <f t="shared" ref="AK86:AK119" si="9">IFERROR((AJ86/AI86)*100,"")</f>
        <v>19.228915662650603</v>
      </c>
      <c r="AL86" s="12" t="str">
        <f t="shared" si="8"/>
        <v>10% a 25%</v>
      </c>
      <c r="AM86" s="6" t="s">
        <v>845</v>
      </c>
      <c r="AN86" s="6" t="s">
        <v>655</v>
      </c>
      <c r="AO86" s="6" t="s">
        <v>701</v>
      </c>
      <c r="AP86" s="6">
        <v>1</v>
      </c>
      <c r="AQ86" s="6" t="s">
        <v>844</v>
      </c>
      <c r="AR86" s="6" t="s">
        <v>1400</v>
      </c>
      <c r="AS86" s="6">
        <v>1</v>
      </c>
      <c r="AT86" s="6">
        <v>0</v>
      </c>
      <c r="AU86" s="6">
        <v>1</v>
      </c>
      <c r="AV86" s="6">
        <v>0</v>
      </c>
      <c r="AW86" s="6">
        <v>0</v>
      </c>
      <c r="AX86" s="31">
        <v>0</v>
      </c>
      <c r="AY86" s="31">
        <v>0</v>
      </c>
      <c r="AZ86" s="31">
        <v>0</v>
      </c>
      <c r="BA86" s="12">
        <f t="shared" si="6"/>
        <v>0</v>
      </c>
      <c r="BB86" s="31">
        <v>0</v>
      </c>
      <c r="BC86" s="31">
        <v>0</v>
      </c>
      <c r="BD86" s="31">
        <v>0</v>
      </c>
      <c r="BE86" s="31">
        <v>0</v>
      </c>
      <c r="BF86" s="12">
        <f t="shared" si="7"/>
        <v>0</v>
      </c>
      <c r="BG86" s="6">
        <v>0</v>
      </c>
      <c r="BH86" s="6">
        <v>0</v>
      </c>
      <c r="BI86" s="6">
        <v>0</v>
      </c>
      <c r="BJ86" s="6" t="s">
        <v>620</v>
      </c>
      <c r="BK86" s="6">
        <v>0</v>
      </c>
      <c r="BL86" s="6">
        <v>0</v>
      </c>
      <c r="BM86" s="6">
        <v>0</v>
      </c>
      <c r="BN86" s="6">
        <v>1</v>
      </c>
      <c r="BO86" s="6">
        <v>0</v>
      </c>
      <c r="BP86" s="6">
        <v>0</v>
      </c>
      <c r="BQ86" s="6">
        <v>0</v>
      </c>
      <c r="BR86" s="6">
        <v>0</v>
      </c>
    </row>
    <row r="87" spans="1:70" ht="64.8" customHeight="1" x14ac:dyDescent="0.3">
      <c r="A87" s="6">
        <v>1471511</v>
      </c>
      <c r="B87" s="6" t="s">
        <v>26</v>
      </c>
      <c r="C87" s="15" t="s">
        <v>225</v>
      </c>
      <c r="D87" s="6" t="s">
        <v>226</v>
      </c>
      <c r="E87" s="6" t="s">
        <v>15</v>
      </c>
      <c r="F87" s="7">
        <v>41856</v>
      </c>
      <c r="G87" s="7">
        <v>41935</v>
      </c>
      <c r="H87" s="8" t="s">
        <v>38</v>
      </c>
      <c r="I87" s="3" t="s">
        <v>227</v>
      </c>
      <c r="J87" s="3" t="s">
        <v>18</v>
      </c>
      <c r="K87" t="s">
        <v>19</v>
      </c>
      <c r="L87" s="6" t="s">
        <v>696</v>
      </c>
      <c r="M87" s="14" t="s">
        <v>691</v>
      </c>
      <c r="N87" s="6" t="s">
        <v>657</v>
      </c>
      <c r="O87" s="6">
        <v>0</v>
      </c>
      <c r="P87" s="6" t="s">
        <v>709</v>
      </c>
      <c r="Q87" s="35">
        <v>0</v>
      </c>
      <c r="R87" s="35">
        <v>0</v>
      </c>
      <c r="S87" s="35">
        <v>1</v>
      </c>
      <c r="T87" s="35">
        <v>0</v>
      </c>
      <c r="U87" s="36"/>
      <c r="V87" s="36"/>
      <c r="W87" s="36"/>
      <c r="X87" s="6" t="s">
        <v>657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14" t="s">
        <v>21</v>
      </c>
      <c r="AE87" s="13" t="s">
        <v>228</v>
      </c>
      <c r="AF87" s="13" t="s">
        <v>846</v>
      </c>
      <c r="AG87" s="8" t="s">
        <v>1357</v>
      </c>
      <c r="AH87" s="11">
        <v>40136</v>
      </c>
      <c r="AI87" s="10">
        <v>265</v>
      </c>
      <c r="AJ87" s="12">
        <v>70</v>
      </c>
      <c r="AK87" s="12">
        <f t="shared" si="9"/>
        <v>26.415094339622641</v>
      </c>
      <c r="AL87" s="12" t="str">
        <f t="shared" si="8"/>
        <v>25% a 50%</v>
      </c>
      <c r="AM87" s="6" t="s">
        <v>622</v>
      </c>
      <c r="AN87" s="6" t="s">
        <v>622</v>
      </c>
      <c r="AO87" s="6" t="s">
        <v>699</v>
      </c>
      <c r="AP87" s="6">
        <v>0</v>
      </c>
      <c r="AQ87" s="6" t="s">
        <v>785</v>
      </c>
      <c r="AR87" s="6" t="s">
        <v>1401</v>
      </c>
      <c r="AS87" s="6">
        <v>1</v>
      </c>
      <c r="AT87" s="6">
        <v>0</v>
      </c>
      <c r="AU87" s="6">
        <v>0</v>
      </c>
      <c r="AV87" s="6">
        <v>0</v>
      </c>
      <c r="AW87" s="6">
        <v>0</v>
      </c>
      <c r="AX87" s="31">
        <v>0</v>
      </c>
      <c r="AY87" s="31">
        <v>0</v>
      </c>
      <c r="AZ87" s="31">
        <v>0</v>
      </c>
      <c r="BA87" s="12">
        <f t="shared" si="6"/>
        <v>0</v>
      </c>
      <c r="BB87" s="31">
        <v>0</v>
      </c>
      <c r="BC87" s="31">
        <v>0</v>
      </c>
      <c r="BD87" s="31">
        <v>0</v>
      </c>
      <c r="BE87" s="31">
        <v>0</v>
      </c>
      <c r="BF87" s="12">
        <f t="shared" si="7"/>
        <v>0</v>
      </c>
      <c r="BG87" s="6">
        <v>0</v>
      </c>
      <c r="BH87" s="6">
        <v>0</v>
      </c>
      <c r="BI87" s="6">
        <v>0</v>
      </c>
      <c r="BJ87" s="6" t="s">
        <v>617</v>
      </c>
      <c r="BK87" s="6">
        <v>0</v>
      </c>
      <c r="BL87" s="6">
        <v>0</v>
      </c>
      <c r="BM87" s="6">
        <v>0</v>
      </c>
      <c r="BN87" s="6">
        <v>1</v>
      </c>
      <c r="BO87" s="6">
        <v>0</v>
      </c>
      <c r="BP87" s="6">
        <v>0</v>
      </c>
      <c r="BQ87" s="6">
        <v>0</v>
      </c>
      <c r="BR87" s="6">
        <v>0</v>
      </c>
    </row>
    <row r="88" spans="1:70" ht="66" customHeight="1" x14ac:dyDescent="0.3">
      <c r="A88" s="6">
        <v>703398</v>
      </c>
      <c r="B88" s="6" t="s">
        <v>46</v>
      </c>
      <c r="C88" s="15" t="s">
        <v>229</v>
      </c>
      <c r="D88" s="6" t="s">
        <v>64</v>
      </c>
      <c r="E88" s="6" t="s">
        <v>15</v>
      </c>
      <c r="F88" s="7">
        <v>42138</v>
      </c>
      <c r="G88" s="7">
        <v>42583</v>
      </c>
      <c r="H88" s="8" t="s">
        <v>42</v>
      </c>
      <c r="I88" s="3" t="s">
        <v>17</v>
      </c>
      <c r="J88" s="3" t="s">
        <v>18</v>
      </c>
      <c r="K88" t="s">
        <v>19</v>
      </c>
      <c r="L88" s="6" t="s">
        <v>696</v>
      </c>
      <c r="M88" s="14" t="s">
        <v>35</v>
      </c>
      <c r="N88" s="6" t="s">
        <v>657</v>
      </c>
      <c r="O88" s="6">
        <v>0</v>
      </c>
      <c r="P88" s="6" t="s">
        <v>714</v>
      </c>
      <c r="Q88" s="35">
        <v>1</v>
      </c>
      <c r="R88" s="35">
        <v>0</v>
      </c>
      <c r="S88" s="35">
        <v>0</v>
      </c>
      <c r="T88" s="35">
        <v>0</v>
      </c>
      <c r="U88" s="35">
        <v>0</v>
      </c>
      <c r="V88" s="35">
        <v>0</v>
      </c>
      <c r="W88" s="35">
        <v>0</v>
      </c>
      <c r="X88" s="6" t="s">
        <v>657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14" t="s">
        <v>21</v>
      </c>
      <c r="AE88" s="13" t="s">
        <v>230</v>
      </c>
      <c r="AF88" s="13" t="s">
        <v>66</v>
      </c>
      <c r="AG88" s="8" t="s">
        <v>1357</v>
      </c>
      <c r="AH88" s="11">
        <v>39989</v>
      </c>
      <c r="AI88" s="10">
        <v>465</v>
      </c>
      <c r="AJ88" s="12">
        <v>210</v>
      </c>
      <c r="AK88" s="12">
        <f t="shared" si="9"/>
        <v>45.161290322580641</v>
      </c>
      <c r="AL88" s="12" t="str">
        <f t="shared" si="8"/>
        <v>25% a 50%</v>
      </c>
      <c r="AM88" s="6" t="s">
        <v>786</v>
      </c>
      <c r="AN88" s="6" t="s">
        <v>1455</v>
      </c>
      <c r="AO88" s="6" t="s">
        <v>699</v>
      </c>
      <c r="AP88" s="6">
        <v>0</v>
      </c>
      <c r="AQ88" s="6" t="s">
        <v>785</v>
      </c>
      <c r="AR88" s="6" t="s">
        <v>1401</v>
      </c>
      <c r="AS88" s="6">
        <v>1</v>
      </c>
      <c r="AT88" s="6">
        <v>0</v>
      </c>
      <c r="AU88" s="6">
        <v>0</v>
      </c>
      <c r="AV88" s="6">
        <v>0</v>
      </c>
      <c r="AW88" s="6" t="s">
        <v>842</v>
      </c>
      <c r="AX88" s="31">
        <v>0</v>
      </c>
      <c r="AY88" s="31">
        <v>0</v>
      </c>
      <c r="AZ88" s="31">
        <v>0</v>
      </c>
      <c r="BA88" s="12">
        <f t="shared" si="6"/>
        <v>0</v>
      </c>
      <c r="BB88" s="31">
        <v>10</v>
      </c>
      <c r="BC88" s="31">
        <v>1</v>
      </c>
      <c r="BD88" s="31">
        <v>0</v>
      </c>
      <c r="BE88" s="31">
        <v>0</v>
      </c>
      <c r="BF88" s="12">
        <f t="shared" si="7"/>
        <v>12.166666666666666</v>
      </c>
      <c r="BG88" s="6" t="s">
        <v>637</v>
      </c>
      <c r="BH88" s="6" t="s">
        <v>1394</v>
      </c>
      <c r="BI88" s="6">
        <v>0</v>
      </c>
      <c r="BJ88" s="6" t="s">
        <v>609</v>
      </c>
      <c r="BK88" s="6">
        <v>1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</row>
    <row r="89" spans="1:70" ht="55.2" customHeight="1" x14ac:dyDescent="0.3">
      <c r="A89" s="6">
        <v>349480</v>
      </c>
      <c r="B89" s="6" t="s">
        <v>24</v>
      </c>
      <c r="C89" s="15" t="s">
        <v>231</v>
      </c>
      <c r="D89" s="6" t="s">
        <v>14</v>
      </c>
      <c r="E89" s="6" t="s">
        <v>15</v>
      </c>
      <c r="F89" s="7">
        <v>42418</v>
      </c>
      <c r="G89" s="7">
        <v>42551</v>
      </c>
      <c r="H89" s="8" t="s">
        <v>101</v>
      </c>
      <c r="I89" s="3" t="s">
        <v>17</v>
      </c>
      <c r="J89" s="3" t="s">
        <v>18</v>
      </c>
      <c r="K89" t="s">
        <v>19</v>
      </c>
      <c r="L89" s="6" t="s">
        <v>695</v>
      </c>
      <c r="M89" s="14" t="s">
        <v>990</v>
      </c>
      <c r="N89" s="6" t="s">
        <v>703</v>
      </c>
      <c r="O89" s="6">
        <v>1</v>
      </c>
      <c r="P89" s="6" t="s">
        <v>847</v>
      </c>
      <c r="Q89" s="35">
        <v>0</v>
      </c>
      <c r="R89" s="35">
        <v>0</v>
      </c>
      <c r="S89" s="35">
        <v>0</v>
      </c>
      <c r="T89" s="35">
        <v>0</v>
      </c>
      <c r="U89" s="35">
        <v>0</v>
      </c>
      <c r="V89" s="35">
        <v>0</v>
      </c>
      <c r="W89" s="35">
        <v>0</v>
      </c>
      <c r="X89" s="6" t="s">
        <v>761</v>
      </c>
      <c r="Y89" s="6">
        <v>1</v>
      </c>
      <c r="Z89" s="6">
        <v>1</v>
      </c>
      <c r="AA89" s="6">
        <v>0</v>
      </c>
      <c r="AB89" s="6">
        <v>1</v>
      </c>
      <c r="AC89" s="6">
        <v>0</v>
      </c>
      <c r="AD89" s="14" t="s">
        <v>43</v>
      </c>
      <c r="AE89" s="13" t="s">
        <v>232</v>
      </c>
      <c r="AF89" s="13" t="s">
        <v>23</v>
      </c>
      <c r="AG89" s="8" t="s">
        <v>1357</v>
      </c>
      <c r="AH89" s="11">
        <v>41820</v>
      </c>
      <c r="AI89" s="10">
        <v>724</v>
      </c>
      <c r="AJ89" s="12">
        <v>35</v>
      </c>
      <c r="AK89" s="12">
        <f t="shared" si="9"/>
        <v>4.834254143646409</v>
      </c>
      <c r="AL89" s="12" t="str">
        <f t="shared" si="8"/>
        <v>Até 10%</v>
      </c>
      <c r="AM89" s="6" t="s">
        <v>779</v>
      </c>
      <c r="AN89" s="6" t="s">
        <v>1453</v>
      </c>
      <c r="AO89" s="6" t="s">
        <v>699</v>
      </c>
      <c r="AP89" s="6">
        <v>0</v>
      </c>
      <c r="AQ89" s="6" t="s">
        <v>613</v>
      </c>
      <c r="AR89" s="6" t="s">
        <v>1399</v>
      </c>
      <c r="AS89" s="6">
        <v>1</v>
      </c>
      <c r="AT89" s="6">
        <v>0</v>
      </c>
      <c r="AU89" s="6">
        <v>0</v>
      </c>
      <c r="AV89" s="6">
        <v>0</v>
      </c>
      <c r="AW89" s="6">
        <v>0</v>
      </c>
      <c r="AX89" s="31">
        <v>0</v>
      </c>
      <c r="AY89" s="31">
        <v>0</v>
      </c>
      <c r="AZ89" s="31">
        <v>0</v>
      </c>
      <c r="BA89" s="12">
        <f t="shared" si="6"/>
        <v>0</v>
      </c>
      <c r="BB89" s="31">
        <v>0</v>
      </c>
      <c r="BC89" s="31">
        <v>0</v>
      </c>
      <c r="BD89" s="31">
        <v>0</v>
      </c>
      <c r="BE89" s="31">
        <v>0</v>
      </c>
      <c r="BF89" s="12">
        <f t="shared" si="7"/>
        <v>0</v>
      </c>
      <c r="BG89" s="6">
        <v>0</v>
      </c>
      <c r="BH89" s="6">
        <v>0</v>
      </c>
      <c r="BI89" s="6">
        <v>0</v>
      </c>
      <c r="BJ89" s="6" t="s">
        <v>620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</row>
    <row r="90" spans="1:70" ht="66" customHeight="1" x14ac:dyDescent="0.3">
      <c r="A90" s="6">
        <v>316070</v>
      </c>
      <c r="B90" s="6" t="s">
        <v>24</v>
      </c>
      <c r="C90" s="27" t="s">
        <v>1332</v>
      </c>
      <c r="D90" s="6" t="s">
        <v>14</v>
      </c>
      <c r="E90" s="6" t="s">
        <v>15</v>
      </c>
      <c r="F90" s="7">
        <v>42114</v>
      </c>
      <c r="G90" s="7">
        <v>42472</v>
      </c>
      <c r="H90" s="8" t="s">
        <v>94</v>
      </c>
      <c r="I90" s="3" t="s">
        <v>17</v>
      </c>
      <c r="J90" s="3" t="s">
        <v>18</v>
      </c>
      <c r="K90" t="s">
        <v>19</v>
      </c>
      <c r="L90" s="6" t="s">
        <v>695</v>
      </c>
      <c r="M90" s="14" t="s">
        <v>990</v>
      </c>
      <c r="N90" s="6" t="s">
        <v>703</v>
      </c>
      <c r="O90" s="6">
        <v>1</v>
      </c>
      <c r="P90" s="6" t="s">
        <v>1334</v>
      </c>
      <c r="Q90" s="35">
        <v>1</v>
      </c>
      <c r="R90" s="35">
        <v>0</v>
      </c>
      <c r="S90" s="35">
        <v>0</v>
      </c>
      <c r="T90" s="35">
        <v>0</v>
      </c>
      <c r="U90" s="35">
        <v>0</v>
      </c>
      <c r="V90" s="35">
        <v>0</v>
      </c>
      <c r="W90" s="35">
        <v>0</v>
      </c>
      <c r="X90" s="6" t="s">
        <v>1335</v>
      </c>
      <c r="Y90" s="6">
        <v>1</v>
      </c>
      <c r="Z90" s="6">
        <v>1</v>
      </c>
      <c r="AA90" s="6">
        <v>1</v>
      </c>
      <c r="AB90" s="6">
        <v>1</v>
      </c>
      <c r="AC90" s="6">
        <v>1</v>
      </c>
      <c r="AD90" s="14" t="s">
        <v>21</v>
      </c>
      <c r="AE90" s="13" t="s">
        <v>233</v>
      </c>
      <c r="AF90" s="13" t="s">
        <v>23</v>
      </c>
      <c r="AG90" s="8" t="s">
        <v>1357</v>
      </c>
      <c r="AH90" s="11">
        <v>41915</v>
      </c>
      <c r="AI90" s="10">
        <v>724</v>
      </c>
      <c r="AJ90" s="12">
        <v>29.99</v>
      </c>
      <c r="AK90" s="12">
        <f t="shared" si="9"/>
        <v>4.1422651933701653</v>
      </c>
      <c r="AL90" s="12" t="str">
        <f t="shared" si="8"/>
        <v>Até 10%</v>
      </c>
      <c r="AM90" s="6" t="s">
        <v>1333</v>
      </c>
      <c r="AN90" s="6" t="s">
        <v>655</v>
      </c>
      <c r="AO90" s="6" t="s">
        <v>701</v>
      </c>
      <c r="AP90" s="6">
        <v>1</v>
      </c>
      <c r="AQ90" s="6" t="s">
        <v>916</v>
      </c>
      <c r="AR90" s="6" t="s">
        <v>1400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31">
        <v>0</v>
      </c>
      <c r="AY90" s="31">
        <v>0</v>
      </c>
      <c r="AZ90" s="31">
        <v>0</v>
      </c>
      <c r="BA90" s="12">
        <f t="shared" si="6"/>
        <v>0</v>
      </c>
      <c r="BB90" s="31">
        <v>0</v>
      </c>
      <c r="BC90" s="31">
        <v>0</v>
      </c>
      <c r="BD90" s="31">
        <v>0</v>
      </c>
      <c r="BE90" s="31">
        <v>0</v>
      </c>
      <c r="BF90" s="12">
        <f t="shared" si="7"/>
        <v>0</v>
      </c>
      <c r="BG90" s="6">
        <v>0</v>
      </c>
      <c r="BH90" s="6">
        <v>0</v>
      </c>
      <c r="BI90" s="6">
        <v>0</v>
      </c>
      <c r="BJ90" s="23" t="s">
        <v>620</v>
      </c>
      <c r="BK90" s="23">
        <v>0</v>
      </c>
      <c r="BL90" s="23">
        <v>0</v>
      </c>
      <c r="BM90" s="23">
        <v>0</v>
      </c>
      <c r="BN90" s="23">
        <v>0</v>
      </c>
      <c r="BO90" s="6">
        <v>0</v>
      </c>
      <c r="BP90" s="6">
        <v>0</v>
      </c>
      <c r="BQ90" s="6">
        <v>0</v>
      </c>
      <c r="BR90" s="6">
        <v>0</v>
      </c>
    </row>
    <row r="91" spans="1:70" ht="71.400000000000006" customHeight="1" x14ac:dyDescent="0.3">
      <c r="A91" s="6">
        <v>1482996</v>
      </c>
      <c r="B91" s="6" t="s">
        <v>26</v>
      </c>
      <c r="C91" s="15" t="s">
        <v>234</v>
      </c>
      <c r="D91" s="6" t="s">
        <v>64</v>
      </c>
      <c r="E91" s="6" t="s">
        <v>15</v>
      </c>
      <c r="F91" s="7">
        <v>41906</v>
      </c>
      <c r="G91" s="7">
        <v>42058</v>
      </c>
      <c r="H91" s="8" t="s">
        <v>59</v>
      </c>
      <c r="I91" s="3" t="s">
        <v>17</v>
      </c>
      <c r="J91" s="3" t="s">
        <v>18</v>
      </c>
      <c r="K91" t="s">
        <v>19</v>
      </c>
      <c r="L91" s="6" t="s">
        <v>696</v>
      </c>
      <c r="M91" s="14" t="s">
        <v>1008</v>
      </c>
      <c r="N91" s="6" t="s">
        <v>657</v>
      </c>
      <c r="O91" s="6">
        <v>0</v>
      </c>
      <c r="P91" s="6" t="s">
        <v>707</v>
      </c>
      <c r="Q91" s="35">
        <v>0</v>
      </c>
      <c r="R91" s="35">
        <v>1</v>
      </c>
      <c r="S91" s="35">
        <v>0</v>
      </c>
      <c r="T91" s="35">
        <v>0</v>
      </c>
      <c r="U91" s="35">
        <v>0</v>
      </c>
      <c r="V91" s="35">
        <v>0</v>
      </c>
      <c r="W91" s="35">
        <v>0</v>
      </c>
      <c r="X91" s="6" t="s">
        <v>801</v>
      </c>
      <c r="Y91" s="6">
        <v>1</v>
      </c>
      <c r="Z91" s="6">
        <v>0</v>
      </c>
      <c r="AA91" s="6">
        <v>0</v>
      </c>
      <c r="AB91" s="6">
        <v>1</v>
      </c>
      <c r="AC91" s="6">
        <v>0</v>
      </c>
      <c r="AD91" s="14" t="s">
        <v>21</v>
      </c>
      <c r="AE91" s="13" t="s">
        <v>235</v>
      </c>
      <c r="AF91" s="13" t="s">
        <v>830</v>
      </c>
      <c r="AG91" s="8" t="s">
        <v>1357</v>
      </c>
      <c r="AH91" s="11">
        <v>39850</v>
      </c>
      <c r="AI91" s="10">
        <v>465</v>
      </c>
      <c r="AJ91" s="12">
        <v>17.309999999999999</v>
      </c>
      <c r="AK91" s="12">
        <f t="shared" si="9"/>
        <v>3.7225806451612899</v>
      </c>
      <c r="AL91" s="12" t="str">
        <f t="shared" si="8"/>
        <v>Até 10%</v>
      </c>
      <c r="AM91" s="6" t="s">
        <v>663</v>
      </c>
      <c r="AN91" s="6" t="s">
        <v>616</v>
      </c>
      <c r="AO91" s="6" t="s">
        <v>699</v>
      </c>
      <c r="AP91" s="6">
        <v>0</v>
      </c>
      <c r="AQ91" s="6" t="s">
        <v>658</v>
      </c>
      <c r="AR91" s="6" t="s">
        <v>1399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31">
        <v>0</v>
      </c>
      <c r="AY91" s="31">
        <v>0</v>
      </c>
      <c r="AZ91" s="31">
        <v>0</v>
      </c>
      <c r="BA91" s="12">
        <f t="shared" si="6"/>
        <v>0</v>
      </c>
      <c r="BB91" s="31">
        <v>0</v>
      </c>
      <c r="BC91" s="31">
        <v>0</v>
      </c>
      <c r="BD91" s="31">
        <v>0</v>
      </c>
      <c r="BE91" s="31">
        <v>0</v>
      </c>
      <c r="BF91" s="12">
        <f t="shared" si="7"/>
        <v>0</v>
      </c>
      <c r="BG91" s="6">
        <v>0</v>
      </c>
      <c r="BH91" s="6">
        <v>0</v>
      </c>
      <c r="BI91" s="6">
        <v>0</v>
      </c>
      <c r="BJ91" s="6" t="s">
        <v>617</v>
      </c>
      <c r="BK91" s="6">
        <v>0</v>
      </c>
      <c r="BL91" s="6">
        <v>1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</row>
    <row r="92" spans="1:70" ht="61.8" customHeight="1" x14ac:dyDescent="0.3">
      <c r="A92" s="6">
        <v>341327</v>
      </c>
      <c r="B92" s="6" t="s">
        <v>24</v>
      </c>
      <c r="C92" s="15" t="s">
        <v>236</v>
      </c>
      <c r="D92" s="6" t="s">
        <v>14</v>
      </c>
      <c r="E92" s="6" t="s">
        <v>15</v>
      </c>
      <c r="F92" s="7">
        <v>42313</v>
      </c>
      <c r="G92" s="7">
        <v>42473</v>
      </c>
      <c r="H92" s="8" t="s">
        <v>59</v>
      </c>
      <c r="I92" s="3" t="s">
        <v>48</v>
      </c>
      <c r="J92" s="3" t="s">
        <v>18</v>
      </c>
      <c r="K92" t="s">
        <v>19</v>
      </c>
      <c r="L92" s="6" t="s">
        <v>696</v>
      </c>
      <c r="M92" s="14" t="s">
        <v>848</v>
      </c>
      <c r="N92" s="6" t="s">
        <v>657</v>
      </c>
      <c r="O92" s="6">
        <v>0</v>
      </c>
      <c r="P92" s="6" t="s">
        <v>849</v>
      </c>
      <c r="Q92" s="35">
        <v>0</v>
      </c>
      <c r="R92" s="35">
        <v>0</v>
      </c>
      <c r="S92" s="35">
        <v>1</v>
      </c>
      <c r="T92" s="35">
        <v>1</v>
      </c>
      <c r="U92" s="35">
        <v>0</v>
      </c>
      <c r="V92" s="35">
        <v>0</v>
      </c>
      <c r="W92" s="35">
        <v>0</v>
      </c>
      <c r="X92" s="6" t="s">
        <v>850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14" t="s">
        <v>21</v>
      </c>
      <c r="AE92" s="13" t="s">
        <v>237</v>
      </c>
      <c r="AF92" s="13" t="s">
        <v>23</v>
      </c>
      <c r="AG92" s="8" t="s">
        <v>1357</v>
      </c>
      <c r="AH92" s="11">
        <v>39511</v>
      </c>
      <c r="AI92" s="10">
        <v>415</v>
      </c>
      <c r="AJ92" s="12">
        <v>0</v>
      </c>
      <c r="AK92" s="12">
        <f t="shared" si="9"/>
        <v>0</v>
      </c>
      <c r="AL92" s="12" t="str">
        <f t="shared" si="8"/>
        <v>Não Informado</v>
      </c>
      <c r="AM92" s="6" t="s">
        <v>690</v>
      </c>
      <c r="AN92" s="6" t="s">
        <v>1454</v>
      </c>
      <c r="AO92" s="6" t="s">
        <v>699</v>
      </c>
      <c r="AP92" s="6">
        <v>0</v>
      </c>
      <c r="AQ92" s="6" t="s">
        <v>851</v>
      </c>
      <c r="AR92" s="6" t="s">
        <v>1400</v>
      </c>
      <c r="AS92" s="6">
        <v>1</v>
      </c>
      <c r="AT92" s="6">
        <v>0</v>
      </c>
      <c r="AU92" s="6">
        <v>0</v>
      </c>
      <c r="AV92" s="6">
        <v>0</v>
      </c>
      <c r="AW92" s="6" t="s">
        <v>852</v>
      </c>
      <c r="AX92" s="31">
        <v>2</v>
      </c>
      <c r="AY92" s="31">
        <v>3</v>
      </c>
      <c r="AZ92" s="31">
        <v>6</v>
      </c>
      <c r="BA92" s="12">
        <f t="shared" si="6"/>
        <v>27.533333333333335</v>
      </c>
      <c r="BB92" s="31">
        <v>11</v>
      </c>
      <c r="BC92" s="31">
        <v>0</v>
      </c>
      <c r="BD92" s="31">
        <v>0</v>
      </c>
      <c r="BE92" s="31">
        <v>0</v>
      </c>
      <c r="BF92" s="12">
        <f t="shared" si="7"/>
        <v>0</v>
      </c>
      <c r="BG92" s="6" t="s">
        <v>853</v>
      </c>
      <c r="BH92" s="6" t="s">
        <v>1394</v>
      </c>
      <c r="BI92" s="6">
        <v>1</v>
      </c>
      <c r="BJ92" s="6" t="s">
        <v>609</v>
      </c>
      <c r="BK92" s="6">
        <v>0</v>
      </c>
      <c r="BL92" s="6">
        <v>1</v>
      </c>
      <c r="BM92" s="6">
        <v>0</v>
      </c>
      <c r="BN92" s="6"/>
      <c r="BO92" s="6">
        <v>0</v>
      </c>
      <c r="BP92" s="6">
        <v>0</v>
      </c>
      <c r="BQ92" s="6">
        <v>0</v>
      </c>
      <c r="BR92" s="6">
        <v>0</v>
      </c>
    </row>
    <row r="93" spans="1:70" ht="55.8" customHeight="1" x14ac:dyDescent="0.3">
      <c r="A93" s="6">
        <v>1487199</v>
      </c>
      <c r="B93" s="6" t="s">
        <v>26</v>
      </c>
      <c r="C93" s="15" t="s">
        <v>238</v>
      </c>
      <c r="D93" s="6" t="s">
        <v>64</v>
      </c>
      <c r="E93" s="6" t="s">
        <v>15</v>
      </c>
      <c r="F93" s="7">
        <v>41927</v>
      </c>
      <c r="G93" s="7">
        <v>42094</v>
      </c>
      <c r="H93" s="8" t="s">
        <v>59</v>
      </c>
      <c r="I93" s="3" t="s">
        <v>17</v>
      </c>
      <c r="J93" s="3" t="s">
        <v>18</v>
      </c>
      <c r="K93" t="s">
        <v>19</v>
      </c>
      <c r="L93" s="6" t="s">
        <v>696</v>
      </c>
      <c r="M93" s="14" t="s">
        <v>626</v>
      </c>
      <c r="N93" s="6" t="s">
        <v>657</v>
      </c>
      <c r="O93" s="6">
        <v>0</v>
      </c>
      <c r="P93" s="6" t="s">
        <v>856</v>
      </c>
      <c r="Q93" s="35">
        <v>0</v>
      </c>
      <c r="R93" s="35">
        <v>0</v>
      </c>
      <c r="S93" s="35">
        <v>0</v>
      </c>
      <c r="T93" s="35">
        <v>1</v>
      </c>
      <c r="U93" s="35">
        <v>0</v>
      </c>
      <c r="V93" s="35">
        <v>0</v>
      </c>
      <c r="W93" s="35">
        <v>0</v>
      </c>
      <c r="X93" s="6" t="s">
        <v>657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14" t="s">
        <v>21</v>
      </c>
      <c r="AE93" s="13" t="s">
        <v>239</v>
      </c>
      <c r="AF93" s="13" t="s">
        <v>66</v>
      </c>
      <c r="AG93" s="8" t="s">
        <v>1357</v>
      </c>
      <c r="AH93" s="11">
        <v>39561</v>
      </c>
      <c r="AI93" s="10">
        <v>415</v>
      </c>
      <c r="AJ93" s="12">
        <v>80</v>
      </c>
      <c r="AK93" s="12">
        <f t="shared" si="9"/>
        <v>19.277108433734941</v>
      </c>
      <c r="AL93" s="12" t="str">
        <f t="shared" si="8"/>
        <v>10% a 25%</v>
      </c>
      <c r="AM93" s="6" t="s">
        <v>857</v>
      </c>
      <c r="AN93" s="6" t="s">
        <v>1454</v>
      </c>
      <c r="AO93" s="6" t="s">
        <v>699</v>
      </c>
      <c r="AP93" s="6">
        <v>0</v>
      </c>
      <c r="AQ93" s="6" t="s">
        <v>785</v>
      </c>
      <c r="AR93" s="6" t="s">
        <v>1401</v>
      </c>
      <c r="AS93" s="6">
        <v>1</v>
      </c>
      <c r="AT93" s="6">
        <v>0</v>
      </c>
      <c r="AU93" s="6">
        <v>0</v>
      </c>
      <c r="AV93" s="6">
        <v>0</v>
      </c>
      <c r="AW93" s="6" t="s">
        <v>818</v>
      </c>
      <c r="AX93" s="31">
        <v>0</v>
      </c>
      <c r="AY93" s="31">
        <v>4</v>
      </c>
      <c r="AZ93" s="31">
        <v>0</v>
      </c>
      <c r="BA93" s="12">
        <f t="shared" si="6"/>
        <v>4</v>
      </c>
      <c r="BB93" s="31">
        <v>3</v>
      </c>
      <c r="BC93" s="31">
        <v>0</v>
      </c>
      <c r="BD93" s="31">
        <v>0</v>
      </c>
      <c r="BE93" s="31">
        <v>0</v>
      </c>
      <c r="BF93" s="12">
        <f t="shared" si="7"/>
        <v>0</v>
      </c>
      <c r="BG93" s="6" t="s">
        <v>858</v>
      </c>
      <c r="BH93" s="6" t="s">
        <v>1394</v>
      </c>
      <c r="BI93" s="6">
        <v>1</v>
      </c>
      <c r="BJ93" s="6" t="s">
        <v>609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</row>
    <row r="94" spans="1:70" ht="67.8" customHeight="1" x14ac:dyDescent="0.3">
      <c r="A94" s="6">
        <v>305914</v>
      </c>
      <c r="B94" s="6" t="s">
        <v>24</v>
      </c>
      <c r="C94" s="15" t="s">
        <v>240</v>
      </c>
      <c r="D94" s="6" t="s">
        <v>106</v>
      </c>
      <c r="E94" s="6" t="s">
        <v>15</v>
      </c>
      <c r="F94" s="7">
        <v>41913</v>
      </c>
      <c r="G94" s="7">
        <v>42250</v>
      </c>
      <c r="H94" s="8" t="s">
        <v>118</v>
      </c>
      <c r="I94" s="3" t="s">
        <v>17</v>
      </c>
      <c r="J94" s="3" t="s">
        <v>18</v>
      </c>
      <c r="K94" t="s">
        <v>19</v>
      </c>
      <c r="L94" s="6" t="s">
        <v>696</v>
      </c>
      <c r="M94" s="14" t="s">
        <v>35</v>
      </c>
      <c r="N94" s="6" t="s">
        <v>657</v>
      </c>
      <c r="O94" s="6">
        <v>0</v>
      </c>
      <c r="P94" s="6" t="s">
        <v>859</v>
      </c>
      <c r="Q94" s="35">
        <v>1</v>
      </c>
      <c r="R94" s="35">
        <v>0</v>
      </c>
      <c r="S94" s="35">
        <v>1</v>
      </c>
      <c r="T94" s="35">
        <v>0</v>
      </c>
      <c r="U94" s="35">
        <v>0</v>
      </c>
      <c r="V94" s="35">
        <v>0</v>
      </c>
      <c r="W94" s="35">
        <v>0</v>
      </c>
      <c r="X94" s="6" t="s">
        <v>860</v>
      </c>
      <c r="Y94" s="6">
        <v>1</v>
      </c>
      <c r="Z94" s="6">
        <v>1</v>
      </c>
      <c r="AA94" s="6">
        <v>1</v>
      </c>
      <c r="AB94" s="6">
        <v>1</v>
      </c>
      <c r="AC94" s="6">
        <v>1</v>
      </c>
      <c r="AD94" s="14" t="s">
        <v>21</v>
      </c>
      <c r="AE94" s="13" t="s">
        <v>241</v>
      </c>
      <c r="AF94" s="13" t="s">
        <v>108</v>
      </c>
      <c r="AG94" s="8" t="s">
        <v>1357</v>
      </c>
      <c r="AH94" s="11">
        <v>39634</v>
      </c>
      <c r="AI94" s="10">
        <v>415</v>
      </c>
      <c r="AJ94" s="12">
        <v>180</v>
      </c>
      <c r="AK94" s="12">
        <f t="shared" si="9"/>
        <v>43.373493975903614</v>
      </c>
      <c r="AL94" s="12" t="str">
        <f t="shared" si="8"/>
        <v>25% a 50%</v>
      </c>
      <c r="AM94" s="6" t="s">
        <v>618</v>
      </c>
      <c r="AN94" s="6" t="s">
        <v>618</v>
      </c>
      <c r="AO94" s="6" t="s">
        <v>701</v>
      </c>
      <c r="AP94" s="6">
        <v>1</v>
      </c>
      <c r="AQ94" s="6" t="s">
        <v>643</v>
      </c>
      <c r="AR94" s="6" t="s">
        <v>1401</v>
      </c>
      <c r="AS94" s="6">
        <v>1</v>
      </c>
      <c r="AT94" s="6">
        <v>0</v>
      </c>
      <c r="AU94" s="6">
        <v>0</v>
      </c>
      <c r="AV94" s="6">
        <v>0</v>
      </c>
      <c r="AW94" s="6" t="s">
        <v>664</v>
      </c>
      <c r="AX94" s="31">
        <v>0</v>
      </c>
      <c r="AY94" s="31">
        <v>8</v>
      </c>
      <c r="AZ94" s="31">
        <v>0</v>
      </c>
      <c r="BA94" s="12">
        <f t="shared" si="6"/>
        <v>8</v>
      </c>
      <c r="BB94" s="31">
        <v>6</v>
      </c>
      <c r="BC94" s="31">
        <v>0</v>
      </c>
      <c r="BD94" s="31">
        <v>0</v>
      </c>
      <c r="BE94" s="31">
        <v>0</v>
      </c>
      <c r="BF94" s="12">
        <f t="shared" si="7"/>
        <v>0</v>
      </c>
      <c r="BG94" s="6" t="s">
        <v>636</v>
      </c>
      <c r="BH94" s="6" t="s">
        <v>1394</v>
      </c>
      <c r="BI94" s="6">
        <v>1</v>
      </c>
      <c r="BJ94" s="6" t="s">
        <v>609</v>
      </c>
      <c r="BK94" s="6">
        <v>0</v>
      </c>
      <c r="BL94" s="6">
        <v>0</v>
      </c>
      <c r="BM94" s="6">
        <v>0</v>
      </c>
      <c r="BN94" s="6">
        <v>1</v>
      </c>
      <c r="BO94" s="6">
        <v>0</v>
      </c>
      <c r="BP94" s="6">
        <v>0</v>
      </c>
      <c r="BQ94" s="6">
        <v>0</v>
      </c>
      <c r="BR94" s="6">
        <v>0</v>
      </c>
    </row>
    <row r="95" spans="1:70" ht="52.8" customHeight="1" x14ac:dyDescent="0.3">
      <c r="A95" s="6">
        <v>630098</v>
      </c>
      <c r="B95" s="6" t="s">
        <v>46</v>
      </c>
      <c r="C95" s="15" t="s">
        <v>242</v>
      </c>
      <c r="D95" s="6" t="s">
        <v>64</v>
      </c>
      <c r="E95" s="6" t="s">
        <v>15</v>
      </c>
      <c r="F95" s="7">
        <v>41989</v>
      </c>
      <c r="G95" s="7">
        <v>42319</v>
      </c>
      <c r="H95" s="8" t="s">
        <v>52</v>
      </c>
      <c r="I95" s="3" t="s">
        <v>48</v>
      </c>
      <c r="J95" s="3" t="s">
        <v>18</v>
      </c>
      <c r="K95" t="s">
        <v>19</v>
      </c>
      <c r="L95" s="6" t="s">
        <v>695</v>
      </c>
      <c r="M95" s="14" t="s">
        <v>626</v>
      </c>
      <c r="N95" s="6" t="s">
        <v>657</v>
      </c>
      <c r="O95" s="6">
        <v>0</v>
      </c>
      <c r="P95" s="6" t="s">
        <v>861</v>
      </c>
      <c r="Q95" s="35">
        <v>1</v>
      </c>
      <c r="R95" s="35">
        <v>0</v>
      </c>
      <c r="S95" s="35">
        <v>0</v>
      </c>
      <c r="T95" s="35">
        <v>1</v>
      </c>
      <c r="U95" s="35">
        <v>0</v>
      </c>
      <c r="V95" s="35">
        <v>0</v>
      </c>
      <c r="W95" s="35">
        <v>0</v>
      </c>
      <c r="X95" s="6" t="s">
        <v>657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14" t="s">
        <v>21</v>
      </c>
      <c r="AE95" s="13" t="s">
        <v>243</v>
      </c>
      <c r="AF95" s="13" t="s">
        <v>66</v>
      </c>
      <c r="AG95" s="8" t="s">
        <v>1357</v>
      </c>
      <c r="AH95" s="11">
        <v>41224</v>
      </c>
      <c r="AI95" s="10">
        <v>622</v>
      </c>
      <c r="AJ95" s="12">
        <v>330</v>
      </c>
      <c r="AK95" s="12">
        <f t="shared" si="9"/>
        <v>53.054662379421224</v>
      </c>
      <c r="AL95" s="12" t="str">
        <f t="shared" si="8"/>
        <v>Acima de 50%</v>
      </c>
      <c r="AM95" s="6" t="s">
        <v>624</v>
      </c>
      <c r="AN95" s="6" t="s">
        <v>1452</v>
      </c>
      <c r="AO95" s="6" t="s">
        <v>701</v>
      </c>
      <c r="AP95" s="6">
        <v>1</v>
      </c>
      <c r="AQ95" s="6" t="s">
        <v>667</v>
      </c>
      <c r="AR95" s="6" t="s">
        <v>1400</v>
      </c>
      <c r="AS95" s="6">
        <v>0</v>
      </c>
      <c r="AT95" s="6">
        <v>0</v>
      </c>
      <c r="AU95" s="6">
        <v>0</v>
      </c>
      <c r="AV95" s="6">
        <v>0</v>
      </c>
      <c r="AW95" s="6" t="s">
        <v>862</v>
      </c>
      <c r="AX95" s="31">
        <v>0</v>
      </c>
      <c r="AY95" s="31">
        <v>8</v>
      </c>
      <c r="AZ95" s="31">
        <v>0</v>
      </c>
      <c r="BA95" s="12">
        <f t="shared" si="6"/>
        <v>8</v>
      </c>
      <c r="BB95" s="31">
        <v>3</v>
      </c>
      <c r="BC95" s="31">
        <v>0</v>
      </c>
      <c r="BD95" s="31">
        <v>0</v>
      </c>
      <c r="BE95" s="31">
        <v>0</v>
      </c>
      <c r="BF95" s="12">
        <f t="shared" si="7"/>
        <v>0</v>
      </c>
      <c r="BG95" s="6" t="s">
        <v>636</v>
      </c>
      <c r="BH95" s="6" t="s">
        <v>1394</v>
      </c>
      <c r="BI95" s="6">
        <v>1</v>
      </c>
      <c r="BJ95" s="6" t="s">
        <v>609</v>
      </c>
      <c r="BK95" s="6">
        <v>0</v>
      </c>
      <c r="BL95" s="6">
        <v>0</v>
      </c>
      <c r="BM95" s="6">
        <v>0</v>
      </c>
      <c r="BN95" s="6">
        <v>1</v>
      </c>
      <c r="BO95" s="6">
        <v>0</v>
      </c>
      <c r="BP95" s="6">
        <v>0</v>
      </c>
      <c r="BQ95" s="6">
        <v>0</v>
      </c>
      <c r="BR95" s="6">
        <v>0</v>
      </c>
    </row>
    <row r="96" spans="1:70" ht="66.599999999999994" customHeight="1" x14ac:dyDescent="0.3">
      <c r="A96" s="6">
        <v>1489830</v>
      </c>
      <c r="B96" s="6" t="s">
        <v>13</v>
      </c>
      <c r="C96" s="15" t="s">
        <v>863</v>
      </c>
      <c r="D96" s="6" t="s">
        <v>55</v>
      </c>
      <c r="E96" s="6" t="s">
        <v>15</v>
      </c>
      <c r="F96" s="7">
        <v>41934</v>
      </c>
      <c r="G96" s="7">
        <v>41989</v>
      </c>
      <c r="H96" s="8" t="s">
        <v>77</v>
      </c>
      <c r="I96" s="3" t="s">
        <v>17</v>
      </c>
      <c r="J96" s="3" t="s">
        <v>18</v>
      </c>
      <c r="K96" t="s">
        <v>19</v>
      </c>
      <c r="L96" s="6" t="s">
        <v>696</v>
      </c>
      <c r="M96" s="14" t="s">
        <v>864</v>
      </c>
      <c r="N96" s="6" t="s">
        <v>657</v>
      </c>
      <c r="O96" s="6">
        <v>0</v>
      </c>
      <c r="P96" s="6" t="s">
        <v>707</v>
      </c>
      <c r="Q96" s="35">
        <v>0</v>
      </c>
      <c r="R96" s="35">
        <v>1</v>
      </c>
      <c r="S96" s="35">
        <v>0</v>
      </c>
      <c r="T96" s="35">
        <v>0</v>
      </c>
      <c r="U96" s="35">
        <v>0</v>
      </c>
      <c r="V96" s="35">
        <v>0</v>
      </c>
      <c r="W96" s="35">
        <v>0</v>
      </c>
      <c r="X96" s="6" t="s">
        <v>801</v>
      </c>
      <c r="Y96" s="6">
        <v>1</v>
      </c>
      <c r="Z96" s="6">
        <v>0</v>
      </c>
      <c r="AA96" s="6">
        <v>0</v>
      </c>
      <c r="AB96" s="6">
        <v>1</v>
      </c>
      <c r="AC96" s="6">
        <v>0</v>
      </c>
      <c r="AD96" s="14" t="s">
        <v>43</v>
      </c>
      <c r="AE96" s="13" t="s">
        <v>244</v>
      </c>
      <c r="AF96" s="13" t="s">
        <v>69</v>
      </c>
      <c r="AG96" s="8" t="s">
        <v>1357</v>
      </c>
      <c r="AH96" s="11">
        <v>40797</v>
      </c>
      <c r="AI96" s="10">
        <v>545</v>
      </c>
      <c r="AJ96" s="12">
        <v>144.80000000000001</v>
      </c>
      <c r="AK96" s="12">
        <f t="shared" si="9"/>
        <v>26.568807339449545</v>
      </c>
      <c r="AL96" s="12" t="str">
        <f t="shared" si="8"/>
        <v>25% a 50%</v>
      </c>
      <c r="AM96" s="6" t="s">
        <v>779</v>
      </c>
      <c r="AN96" s="6" t="s">
        <v>1453</v>
      </c>
      <c r="AO96" s="6" t="s">
        <v>701</v>
      </c>
      <c r="AP96" s="6">
        <v>1</v>
      </c>
      <c r="AQ96" s="6" t="s">
        <v>658</v>
      </c>
      <c r="AR96" s="6" t="s">
        <v>1399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31">
        <v>0</v>
      </c>
      <c r="AY96" s="31">
        <v>0</v>
      </c>
      <c r="AZ96" s="31">
        <v>0</v>
      </c>
      <c r="BA96" s="12">
        <f t="shared" si="6"/>
        <v>0</v>
      </c>
      <c r="BB96" s="31">
        <v>0</v>
      </c>
      <c r="BC96" s="31">
        <v>0</v>
      </c>
      <c r="BD96" s="31">
        <v>0</v>
      </c>
      <c r="BE96" s="31">
        <v>0</v>
      </c>
      <c r="BF96" s="12">
        <f t="shared" si="7"/>
        <v>0</v>
      </c>
      <c r="BG96" s="6">
        <v>0</v>
      </c>
      <c r="BH96" s="6">
        <v>0</v>
      </c>
      <c r="BI96" s="6">
        <v>0</v>
      </c>
      <c r="BJ96" s="6" t="s">
        <v>620</v>
      </c>
      <c r="BK96" s="6">
        <v>1</v>
      </c>
      <c r="BL96" s="6">
        <v>1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</row>
    <row r="97" spans="1:70" ht="70.2" customHeight="1" x14ac:dyDescent="0.3">
      <c r="A97" s="6">
        <v>329491</v>
      </c>
      <c r="B97" s="6" t="s">
        <v>24</v>
      </c>
      <c r="C97" s="15" t="s">
        <v>245</v>
      </c>
      <c r="D97" s="6" t="s">
        <v>28</v>
      </c>
      <c r="E97" s="6" t="s">
        <v>15</v>
      </c>
      <c r="F97" s="7">
        <v>42194</v>
      </c>
      <c r="G97" s="7">
        <v>42255</v>
      </c>
      <c r="H97" s="8" t="s">
        <v>101</v>
      </c>
      <c r="I97" s="3" t="s">
        <v>17</v>
      </c>
      <c r="J97" s="3" t="s">
        <v>18</v>
      </c>
      <c r="K97" t="s">
        <v>19</v>
      </c>
      <c r="L97" s="6" t="s">
        <v>695</v>
      </c>
      <c r="M97" s="14" t="s">
        <v>35</v>
      </c>
      <c r="N97" s="6" t="s">
        <v>657</v>
      </c>
      <c r="O97" s="6">
        <v>0</v>
      </c>
      <c r="P97" s="6" t="s">
        <v>867</v>
      </c>
      <c r="Q97" s="35">
        <v>1</v>
      </c>
      <c r="R97" s="35">
        <v>0</v>
      </c>
      <c r="S97" s="35">
        <v>0</v>
      </c>
      <c r="T97" s="35">
        <v>1</v>
      </c>
      <c r="U97" s="35">
        <v>0</v>
      </c>
      <c r="V97" s="35">
        <v>0</v>
      </c>
      <c r="W97" s="35">
        <v>0</v>
      </c>
      <c r="X97" s="6" t="s">
        <v>866</v>
      </c>
      <c r="Y97" s="6">
        <v>1</v>
      </c>
      <c r="Z97" s="6">
        <v>1</v>
      </c>
      <c r="AA97" s="6">
        <v>0</v>
      </c>
      <c r="AB97" s="6">
        <v>0</v>
      </c>
      <c r="AC97" s="6">
        <v>0</v>
      </c>
      <c r="AD97" s="14" t="s">
        <v>43</v>
      </c>
      <c r="AE97" s="13" t="s">
        <v>246</v>
      </c>
      <c r="AF97" s="13" t="s">
        <v>32</v>
      </c>
      <c r="AG97" s="8" t="s">
        <v>1357</v>
      </c>
      <c r="AH97" s="11">
        <v>41382</v>
      </c>
      <c r="AI97" s="10">
        <v>678</v>
      </c>
      <c r="AJ97" s="12">
        <v>250</v>
      </c>
      <c r="AK97" s="12">
        <f t="shared" si="9"/>
        <v>36.873156342182888</v>
      </c>
      <c r="AL97" s="12" t="str">
        <f t="shared" si="8"/>
        <v>25% a 50%</v>
      </c>
      <c r="AM97" s="6" t="s">
        <v>865</v>
      </c>
      <c r="AN97" s="6" t="s">
        <v>1454</v>
      </c>
      <c r="AO97" s="6" t="s">
        <v>699</v>
      </c>
      <c r="AP97" s="6">
        <v>0</v>
      </c>
      <c r="AQ97" s="6" t="s">
        <v>1414</v>
      </c>
      <c r="AR97" s="6" t="s">
        <v>1399</v>
      </c>
      <c r="AS97" s="6">
        <v>1</v>
      </c>
      <c r="AT97" s="6">
        <v>0</v>
      </c>
      <c r="AU97" s="6">
        <v>0</v>
      </c>
      <c r="AV97" s="6">
        <v>2</v>
      </c>
      <c r="AW97" s="6" t="s">
        <v>868</v>
      </c>
      <c r="AX97" s="31">
        <v>1</v>
      </c>
      <c r="AY97" s="31">
        <v>6</v>
      </c>
      <c r="AZ97" s="31">
        <v>0</v>
      </c>
      <c r="BA97" s="12">
        <f t="shared" si="6"/>
        <v>18.166666666666668</v>
      </c>
      <c r="BB97" s="31">
        <v>10</v>
      </c>
      <c r="BC97" s="31">
        <v>0</v>
      </c>
      <c r="BD97" s="31">
        <v>0</v>
      </c>
      <c r="BE97" s="31">
        <v>15</v>
      </c>
      <c r="BF97" s="12">
        <f t="shared" si="7"/>
        <v>0.5</v>
      </c>
      <c r="BG97" s="6" t="s">
        <v>615</v>
      </c>
      <c r="BH97" s="6" t="s">
        <v>1393</v>
      </c>
      <c r="BI97" s="6">
        <v>0</v>
      </c>
      <c r="BJ97" s="6" t="s">
        <v>609</v>
      </c>
      <c r="BK97" s="6">
        <v>0</v>
      </c>
      <c r="BL97" s="6">
        <v>0</v>
      </c>
      <c r="BM97" s="6">
        <v>0</v>
      </c>
      <c r="BN97" s="6">
        <v>1</v>
      </c>
      <c r="BO97" s="6">
        <v>0</v>
      </c>
      <c r="BP97" s="6">
        <v>0</v>
      </c>
      <c r="BQ97" s="6">
        <v>0</v>
      </c>
      <c r="BR97" s="6">
        <v>0</v>
      </c>
    </row>
    <row r="98" spans="1:70" ht="69.599999999999994" customHeight="1" x14ac:dyDescent="0.3">
      <c r="A98" s="6">
        <v>699117</v>
      </c>
      <c r="B98" s="6" t="s">
        <v>46</v>
      </c>
      <c r="C98" s="15" t="s">
        <v>247</v>
      </c>
      <c r="D98" s="6" t="s">
        <v>41</v>
      </c>
      <c r="E98" s="6" t="s">
        <v>15</v>
      </c>
      <c r="F98" s="7">
        <v>42133</v>
      </c>
      <c r="G98" s="7">
        <v>42149</v>
      </c>
      <c r="H98" s="8" t="s">
        <v>52</v>
      </c>
      <c r="I98" s="3" t="s">
        <v>17</v>
      </c>
      <c r="J98" s="3" t="s">
        <v>18</v>
      </c>
      <c r="K98" t="s">
        <v>19</v>
      </c>
      <c r="L98" s="6" t="s">
        <v>695</v>
      </c>
      <c r="M98" s="14" t="s">
        <v>626</v>
      </c>
      <c r="N98" s="6" t="s">
        <v>657</v>
      </c>
      <c r="O98" s="6">
        <v>0</v>
      </c>
      <c r="P98" s="6" t="s">
        <v>855</v>
      </c>
      <c r="Q98" s="35">
        <v>0</v>
      </c>
      <c r="R98" s="35">
        <v>0</v>
      </c>
      <c r="S98" s="35">
        <v>1</v>
      </c>
      <c r="T98" s="35">
        <v>1</v>
      </c>
      <c r="U98" s="35">
        <v>0</v>
      </c>
      <c r="V98" s="35">
        <v>0</v>
      </c>
      <c r="W98" s="35">
        <v>0</v>
      </c>
      <c r="X98" s="6" t="s">
        <v>657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14" t="s">
        <v>21</v>
      </c>
      <c r="AE98" s="13" t="s">
        <v>248</v>
      </c>
      <c r="AF98" s="13" t="s">
        <v>45</v>
      </c>
      <c r="AG98" s="8" t="s">
        <v>1357</v>
      </c>
      <c r="AH98" s="11">
        <v>41374</v>
      </c>
      <c r="AI98" s="10">
        <v>678</v>
      </c>
      <c r="AJ98" s="12">
        <v>131</v>
      </c>
      <c r="AK98" s="12">
        <f t="shared" si="9"/>
        <v>19.321533923303836</v>
      </c>
      <c r="AL98" s="12" t="str">
        <f t="shared" si="8"/>
        <v>10% a 25%</v>
      </c>
      <c r="AM98" s="6" t="s">
        <v>622</v>
      </c>
      <c r="AN98" s="6" t="s">
        <v>622</v>
      </c>
      <c r="AO98" s="6" t="s">
        <v>699</v>
      </c>
      <c r="AP98" s="6">
        <v>0</v>
      </c>
      <c r="AQ98" s="6" t="s">
        <v>870</v>
      </c>
      <c r="AR98" s="6" t="s">
        <v>1399</v>
      </c>
      <c r="AS98" s="6">
        <v>1</v>
      </c>
      <c r="AT98" s="6">
        <v>0</v>
      </c>
      <c r="AU98" s="6">
        <v>0</v>
      </c>
      <c r="AV98" s="6">
        <v>0</v>
      </c>
      <c r="AW98" s="6" t="s">
        <v>869</v>
      </c>
      <c r="AX98" s="31">
        <v>1</v>
      </c>
      <c r="AY98" s="31">
        <v>4</v>
      </c>
      <c r="AZ98" s="31">
        <v>0</v>
      </c>
      <c r="BA98" s="12">
        <f t="shared" si="6"/>
        <v>16.166666666666668</v>
      </c>
      <c r="BB98" s="31">
        <v>10</v>
      </c>
      <c r="BC98" s="31">
        <v>0</v>
      </c>
      <c r="BD98" s="31">
        <v>0</v>
      </c>
      <c r="BE98" s="31">
        <v>0</v>
      </c>
      <c r="BF98" s="12">
        <f t="shared" si="7"/>
        <v>0</v>
      </c>
      <c r="BG98" s="6" t="s">
        <v>615</v>
      </c>
      <c r="BH98" s="6" t="s">
        <v>1393</v>
      </c>
      <c r="BI98" s="6">
        <v>0</v>
      </c>
      <c r="BJ98" s="6" t="s">
        <v>609</v>
      </c>
      <c r="BK98" s="6">
        <v>0</v>
      </c>
      <c r="BL98" s="6">
        <v>1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</row>
    <row r="99" spans="1:70" ht="59.4" customHeight="1" x14ac:dyDescent="0.3">
      <c r="A99" s="6">
        <v>311139</v>
      </c>
      <c r="B99" s="6" t="s">
        <v>24</v>
      </c>
      <c r="C99" s="15" t="s">
        <v>249</v>
      </c>
      <c r="D99" s="6" t="s">
        <v>14</v>
      </c>
      <c r="E99" s="6" t="s">
        <v>15</v>
      </c>
      <c r="F99" s="7">
        <v>41975</v>
      </c>
      <c r="G99" s="7">
        <v>42073</v>
      </c>
      <c r="H99" s="8" t="s">
        <v>59</v>
      </c>
      <c r="I99" s="3" t="s">
        <v>48</v>
      </c>
      <c r="J99" s="3" t="s">
        <v>18</v>
      </c>
      <c r="K99" t="s">
        <v>19</v>
      </c>
      <c r="L99" s="6" t="s">
        <v>696</v>
      </c>
      <c r="M99" s="14" t="s">
        <v>883</v>
      </c>
      <c r="N99" s="6" t="s">
        <v>703</v>
      </c>
      <c r="O99" s="6">
        <v>1</v>
      </c>
      <c r="P99" s="6" t="s">
        <v>872</v>
      </c>
      <c r="Q99" s="35">
        <v>1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6" t="s">
        <v>860</v>
      </c>
      <c r="Y99" s="6">
        <v>1</v>
      </c>
      <c r="Z99" s="6">
        <v>1</v>
      </c>
      <c r="AA99" s="6">
        <v>1</v>
      </c>
      <c r="AB99" s="6">
        <v>1</v>
      </c>
      <c r="AC99" s="6">
        <v>1</v>
      </c>
      <c r="AD99" s="14" t="s">
        <v>43</v>
      </c>
      <c r="AE99" s="13" t="s">
        <v>250</v>
      </c>
      <c r="AF99" s="13" t="s">
        <v>23</v>
      </c>
      <c r="AG99" s="8" t="s">
        <v>1357</v>
      </c>
      <c r="AH99" s="11">
        <v>40749</v>
      </c>
      <c r="AI99" s="10">
        <v>545</v>
      </c>
      <c r="AJ99" s="12">
        <v>14.9</v>
      </c>
      <c r="AK99" s="12">
        <f t="shared" si="9"/>
        <v>2.7339449541284404</v>
      </c>
      <c r="AL99" s="12" t="str">
        <f t="shared" si="8"/>
        <v>Até 10%</v>
      </c>
      <c r="AM99" s="6" t="s">
        <v>871</v>
      </c>
      <c r="AN99" s="6" t="s">
        <v>1453</v>
      </c>
      <c r="AO99" s="6" t="s">
        <v>699</v>
      </c>
      <c r="AP99" s="6">
        <v>0</v>
      </c>
      <c r="AQ99" s="6" t="s">
        <v>628</v>
      </c>
      <c r="AR99" s="6" t="s">
        <v>1400</v>
      </c>
      <c r="AS99" s="6">
        <v>1</v>
      </c>
      <c r="AT99" s="6">
        <v>0</v>
      </c>
      <c r="AU99" s="6">
        <v>0</v>
      </c>
      <c r="AV99" s="6">
        <v>0</v>
      </c>
      <c r="AW99" s="6">
        <v>0</v>
      </c>
      <c r="AX99" s="31">
        <v>0</v>
      </c>
      <c r="AY99" s="31">
        <v>0</v>
      </c>
      <c r="AZ99" s="31">
        <v>0</v>
      </c>
      <c r="BA99" s="12">
        <f t="shared" si="6"/>
        <v>0</v>
      </c>
      <c r="BB99" s="31">
        <v>0</v>
      </c>
      <c r="BC99" s="31">
        <v>0</v>
      </c>
      <c r="BD99" s="31">
        <v>0</v>
      </c>
      <c r="BE99" s="31">
        <v>0</v>
      </c>
      <c r="BF99" s="12">
        <f t="shared" si="7"/>
        <v>0</v>
      </c>
      <c r="BG99" s="6">
        <v>0</v>
      </c>
      <c r="BH99" s="6">
        <v>0</v>
      </c>
      <c r="BI99" s="6">
        <v>0</v>
      </c>
      <c r="BJ99" s="6" t="s">
        <v>620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</row>
    <row r="100" spans="1:70" ht="61.2" customHeight="1" x14ac:dyDescent="0.3">
      <c r="A100" s="6">
        <v>643109</v>
      </c>
      <c r="B100" s="6" t="s">
        <v>46</v>
      </c>
      <c r="C100" s="15" t="s">
        <v>251</v>
      </c>
      <c r="D100" s="6" t="s">
        <v>41</v>
      </c>
      <c r="E100" s="6" t="s">
        <v>15</v>
      </c>
      <c r="F100" s="7">
        <v>42026</v>
      </c>
      <c r="G100" s="7">
        <v>42121</v>
      </c>
      <c r="H100" s="8" t="s">
        <v>71</v>
      </c>
      <c r="I100" s="3" t="s">
        <v>17</v>
      </c>
      <c r="J100" s="3" t="s">
        <v>18</v>
      </c>
      <c r="K100" t="s">
        <v>19</v>
      </c>
      <c r="L100" s="6" t="s">
        <v>695</v>
      </c>
      <c r="M100" s="14" t="s">
        <v>626</v>
      </c>
      <c r="N100" s="6" t="s">
        <v>657</v>
      </c>
      <c r="O100" s="6">
        <v>0</v>
      </c>
      <c r="P100" s="6" t="s">
        <v>707</v>
      </c>
      <c r="Q100" s="35">
        <v>0</v>
      </c>
      <c r="R100" s="35">
        <v>1</v>
      </c>
      <c r="S100" s="35">
        <v>0</v>
      </c>
      <c r="T100" s="35">
        <v>0</v>
      </c>
      <c r="U100" s="35">
        <v>0</v>
      </c>
      <c r="V100" s="35">
        <v>0</v>
      </c>
      <c r="W100" s="35">
        <v>0</v>
      </c>
      <c r="X100" s="6" t="s">
        <v>657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14" t="s">
        <v>21</v>
      </c>
      <c r="AE100" s="13" t="s">
        <v>252</v>
      </c>
      <c r="AF100" s="13" t="s">
        <v>45</v>
      </c>
      <c r="AG100" s="8" t="s">
        <v>1357</v>
      </c>
      <c r="AH100" s="11">
        <v>41205</v>
      </c>
      <c r="AI100" s="10">
        <v>622</v>
      </c>
      <c r="AJ100" s="12">
        <v>100</v>
      </c>
      <c r="AK100" s="12">
        <f t="shared" si="9"/>
        <v>16.077170418006432</v>
      </c>
      <c r="AL100" s="12" t="str">
        <f t="shared" si="8"/>
        <v>10% a 25%</v>
      </c>
      <c r="AM100" s="6" t="s">
        <v>873</v>
      </c>
      <c r="AN100" s="6" t="s">
        <v>1454</v>
      </c>
      <c r="AO100" s="6" t="s">
        <v>699</v>
      </c>
      <c r="AP100" s="6">
        <v>0</v>
      </c>
      <c r="AQ100" s="6" t="s">
        <v>658</v>
      </c>
      <c r="AR100" s="6" t="s">
        <v>1399</v>
      </c>
      <c r="AS100" s="6">
        <v>0</v>
      </c>
      <c r="AT100" s="6">
        <v>0</v>
      </c>
      <c r="AU100" s="6">
        <v>0</v>
      </c>
      <c r="AV100" s="6">
        <v>0</v>
      </c>
      <c r="AW100" s="6" t="s">
        <v>874</v>
      </c>
      <c r="AX100" s="31">
        <v>1</v>
      </c>
      <c r="AY100" s="31">
        <v>1</v>
      </c>
      <c r="AZ100" s="31">
        <v>0</v>
      </c>
      <c r="BA100" s="12">
        <f t="shared" si="6"/>
        <v>13.166666666666666</v>
      </c>
      <c r="BB100" s="31">
        <v>12</v>
      </c>
      <c r="BC100" s="31">
        <v>0</v>
      </c>
      <c r="BD100" s="31">
        <v>0</v>
      </c>
      <c r="BE100" s="31">
        <v>0</v>
      </c>
      <c r="BF100" s="12">
        <f t="shared" si="7"/>
        <v>0</v>
      </c>
      <c r="BG100" s="6" t="s">
        <v>615</v>
      </c>
      <c r="BH100" s="6" t="s">
        <v>1393</v>
      </c>
      <c r="BI100" s="6">
        <v>0</v>
      </c>
      <c r="BJ100" s="6" t="s">
        <v>609</v>
      </c>
      <c r="BK100" s="6">
        <v>1</v>
      </c>
      <c r="BL100" s="6">
        <v>1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</row>
    <row r="101" spans="1:70" ht="61.8" customHeight="1" x14ac:dyDescent="0.3">
      <c r="A101" s="6">
        <v>54490</v>
      </c>
      <c r="B101" s="6" t="s">
        <v>207</v>
      </c>
      <c r="C101" s="15" t="s">
        <v>253</v>
      </c>
      <c r="D101" s="6" t="s">
        <v>64</v>
      </c>
      <c r="E101" s="6" t="s">
        <v>15</v>
      </c>
      <c r="F101" s="7">
        <v>41982</v>
      </c>
      <c r="G101" s="7">
        <v>42467</v>
      </c>
      <c r="H101" s="8" t="s">
        <v>94</v>
      </c>
      <c r="I101" s="3" t="s">
        <v>17</v>
      </c>
      <c r="J101" s="3" t="s">
        <v>18</v>
      </c>
      <c r="K101" t="s">
        <v>19</v>
      </c>
      <c r="L101" s="6" t="s">
        <v>695</v>
      </c>
      <c r="M101" s="14" t="s">
        <v>626</v>
      </c>
      <c r="N101" s="6" t="s">
        <v>657</v>
      </c>
      <c r="O101" s="6">
        <v>0</v>
      </c>
      <c r="P101" s="6" t="s">
        <v>714</v>
      </c>
      <c r="Q101" s="35">
        <v>1</v>
      </c>
      <c r="R101" s="35">
        <v>0</v>
      </c>
      <c r="S101" s="35">
        <v>0</v>
      </c>
      <c r="T101" s="35">
        <v>0</v>
      </c>
      <c r="U101" s="35">
        <v>0</v>
      </c>
      <c r="V101" s="35">
        <v>0</v>
      </c>
      <c r="W101" s="35">
        <v>0</v>
      </c>
      <c r="X101" s="6" t="s">
        <v>766</v>
      </c>
      <c r="Y101" s="6">
        <v>1</v>
      </c>
      <c r="Z101" s="6">
        <v>0</v>
      </c>
      <c r="AA101" s="6">
        <v>0</v>
      </c>
      <c r="AB101" s="6">
        <v>0</v>
      </c>
      <c r="AC101" s="6">
        <v>1</v>
      </c>
      <c r="AD101" s="14" t="s">
        <v>43</v>
      </c>
      <c r="AE101" s="13" t="s">
        <v>254</v>
      </c>
      <c r="AF101" s="13" t="s">
        <v>66</v>
      </c>
      <c r="AG101" s="8" t="s">
        <v>1357</v>
      </c>
      <c r="AH101" s="11">
        <v>40985</v>
      </c>
      <c r="AI101" s="10">
        <v>622</v>
      </c>
      <c r="AJ101" s="12">
        <v>170</v>
      </c>
      <c r="AK101" s="12">
        <f t="shared" si="9"/>
        <v>27.331189710610932</v>
      </c>
      <c r="AL101" s="12" t="str">
        <f t="shared" si="8"/>
        <v>25% a 50%</v>
      </c>
      <c r="AM101" s="6" t="s">
        <v>875</v>
      </c>
      <c r="AN101" s="6" t="s">
        <v>616</v>
      </c>
      <c r="AO101" s="6" t="s">
        <v>699</v>
      </c>
      <c r="AP101" s="6">
        <v>0</v>
      </c>
      <c r="AQ101" s="6" t="s">
        <v>658</v>
      </c>
      <c r="AR101" s="6" t="s">
        <v>1399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31">
        <v>0</v>
      </c>
      <c r="AY101" s="31">
        <v>0</v>
      </c>
      <c r="AZ101" s="31">
        <v>0</v>
      </c>
      <c r="BA101" s="12">
        <f t="shared" si="6"/>
        <v>0</v>
      </c>
      <c r="BB101" s="31">
        <v>0</v>
      </c>
      <c r="BC101" s="31">
        <v>0</v>
      </c>
      <c r="BD101" s="31">
        <v>0</v>
      </c>
      <c r="BE101" s="31">
        <v>0</v>
      </c>
      <c r="BF101" s="12">
        <f t="shared" si="7"/>
        <v>0</v>
      </c>
      <c r="BG101" s="6">
        <v>0</v>
      </c>
      <c r="BH101" s="6">
        <v>0</v>
      </c>
      <c r="BI101" s="6">
        <v>0</v>
      </c>
      <c r="BJ101" s="6" t="s">
        <v>620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</row>
    <row r="102" spans="1:70" ht="76.2" customHeight="1" x14ac:dyDescent="0.3">
      <c r="A102" s="6">
        <v>617128</v>
      </c>
      <c r="B102" s="6" t="s">
        <v>46</v>
      </c>
      <c r="C102" s="15" t="s">
        <v>255</v>
      </c>
      <c r="D102" s="6" t="s">
        <v>64</v>
      </c>
      <c r="E102" s="6" t="s">
        <v>15</v>
      </c>
      <c r="F102" s="7">
        <v>41963</v>
      </c>
      <c r="G102" s="7">
        <v>41983</v>
      </c>
      <c r="H102" s="8" t="s">
        <v>77</v>
      </c>
      <c r="I102" s="3" t="s">
        <v>17</v>
      </c>
      <c r="J102" s="3" t="s">
        <v>18</v>
      </c>
      <c r="K102" t="s">
        <v>19</v>
      </c>
      <c r="L102" s="6" t="s">
        <v>696</v>
      </c>
      <c r="M102" s="14" t="s">
        <v>626</v>
      </c>
      <c r="N102" s="6" t="s">
        <v>657</v>
      </c>
      <c r="O102" s="6">
        <v>0</v>
      </c>
      <c r="P102" s="6" t="s">
        <v>707</v>
      </c>
      <c r="Q102" s="35">
        <v>0</v>
      </c>
      <c r="R102" s="35">
        <v>1</v>
      </c>
      <c r="S102" s="35">
        <v>0</v>
      </c>
      <c r="T102" s="35">
        <v>0</v>
      </c>
      <c r="U102" s="35">
        <v>0</v>
      </c>
      <c r="V102" s="35">
        <v>0</v>
      </c>
      <c r="W102" s="35">
        <v>0</v>
      </c>
      <c r="X102" s="6" t="s">
        <v>801</v>
      </c>
      <c r="Y102" s="6">
        <v>1</v>
      </c>
      <c r="Z102" s="6">
        <v>0</v>
      </c>
      <c r="AA102" s="6">
        <v>0</v>
      </c>
      <c r="AB102" s="6">
        <v>1</v>
      </c>
      <c r="AC102" s="6">
        <v>0</v>
      </c>
      <c r="AD102" s="14" t="s">
        <v>21</v>
      </c>
      <c r="AE102" s="13" t="s">
        <v>256</v>
      </c>
      <c r="AF102" s="13" t="s">
        <v>66</v>
      </c>
      <c r="AG102" s="8" t="s">
        <v>1357</v>
      </c>
      <c r="AH102" s="11">
        <v>39935</v>
      </c>
      <c r="AI102" s="10">
        <v>465</v>
      </c>
      <c r="AJ102" s="12">
        <v>80</v>
      </c>
      <c r="AK102" s="12">
        <f t="shared" si="9"/>
        <v>17.20430107526882</v>
      </c>
      <c r="AL102" s="12" t="str">
        <f t="shared" si="8"/>
        <v>10% a 25%</v>
      </c>
      <c r="AM102" s="6" t="s">
        <v>737</v>
      </c>
      <c r="AN102" s="6" t="s">
        <v>1454</v>
      </c>
      <c r="AO102" s="6" t="s">
        <v>699</v>
      </c>
      <c r="AP102" s="6">
        <v>0</v>
      </c>
      <c r="AQ102" s="6" t="s">
        <v>613</v>
      </c>
      <c r="AR102" s="6" t="s">
        <v>1399</v>
      </c>
      <c r="AS102" s="6">
        <v>1</v>
      </c>
      <c r="AT102" s="6">
        <v>0</v>
      </c>
      <c r="AU102" s="6">
        <v>0</v>
      </c>
      <c r="AV102" s="6">
        <v>0</v>
      </c>
      <c r="AW102" s="6" t="s">
        <v>876</v>
      </c>
      <c r="AX102" s="31">
        <v>1</v>
      </c>
      <c r="AY102" s="31">
        <v>6</v>
      </c>
      <c r="AZ102" s="31">
        <v>0</v>
      </c>
      <c r="BA102" s="12">
        <f t="shared" si="6"/>
        <v>18.166666666666668</v>
      </c>
      <c r="BB102" s="31">
        <v>20</v>
      </c>
      <c r="BC102" s="31">
        <v>0</v>
      </c>
      <c r="BD102" s="31">
        <v>0</v>
      </c>
      <c r="BE102" s="31">
        <v>0</v>
      </c>
      <c r="BF102" s="12">
        <f t="shared" si="7"/>
        <v>0</v>
      </c>
      <c r="BG102" s="6" t="s">
        <v>615</v>
      </c>
      <c r="BH102" s="6" t="s">
        <v>1393</v>
      </c>
      <c r="BI102" s="6">
        <v>0</v>
      </c>
      <c r="BJ102" s="6" t="s">
        <v>609</v>
      </c>
      <c r="BK102" s="6">
        <v>1</v>
      </c>
      <c r="BL102" s="6">
        <v>1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</row>
    <row r="103" spans="1:70" ht="69" customHeight="1" x14ac:dyDescent="0.3">
      <c r="A103" s="6">
        <v>1529765</v>
      </c>
      <c r="B103" s="6" t="s">
        <v>26</v>
      </c>
      <c r="C103" s="15" t="s">
        <v>257</v>
      </c>
      <c r="D103" s="6" t="s">
        <v>14</v>
      </c>
      <c r="E103" s="6" t="s">
        <v>15</v>
      </c>
      <c r="F103" s="7">
        <v>42131</v>
      </c>
      <c r="G103" s="7">
        <v>42234</v>
      </c>
      <c r="H103" s="8" t="s">
        <v>71</v>
      </c>
      <c r="I103" s="3" t="s">
        <v>48</v>
      </c>
      <c r="J103" s="3" t="s">
        <v>18</v>
      </c>
      <c r="K103" t="s">
        <v>19</v>
      </c>
      <c r="L103" s="6" t="s">
        <v>695</v>
      </c>
      <c r="M103" s="14" t="s">
        <v>724</v>
      </c>
      <c r="N103" s="6" t="s">
        <v>657</v>
      </c>
      <c r="O103" s="6">
        <v>0</v>
      </c>
      <c r="P103" s="6" t="s">
        <v>714</v>
      </c>
      <c r="Q103" s="35">
        <v>1</v>
      </c>
      <c r="R103" s="35">
        <v>0</v>
      </c>
      <c r="S103" s="35">
        <v>0</v>
      </c>
      <c r="T103" s="35">
        <v>0</v>
      </c>
      <c r="U103" s="35">
        <v>0</v>
      </c>
      <c r="V103" s="35">
        <v>0</v>
      </c>
      <c r="W103" s="35">
        <v>0</v>
      </c>
      <c r="X103" s="6" t="s">
        <v>657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14" t="s">
        <v>21</v>
      </c>
      <c r="AE103" s="13" t="s">
        <v>258</v>
      </c>
      <c r="AF103" s="13" t="s">
        <v>23</v>
      </c>
      <c r="AG103" s="8" t="s">
        <v>1357</v>
      </c>
      <c r="AH103" s="11">
        <v>41015</v>
      </c>
      <c r="AI103" s="10">
        <v>622</v>
      </c>
      <c r="AJ103" s="12">
        <v>200</v>
      </c>
      <c r="AK103" s="12">
        <f t="shared" si="9"/>
        <v>32.154340836012864</v>
      </c>
      <c r="AL103" s="12" t="str">
        <f t="shared" si="8"/>
        <v>25% a 50%</v>
      </c>
      <c r="AM103" s="6" t="s">
        <v>877</v>
      </c>
      <c r="AN103" s="6" t="s">
        <v>655</v>
      </c>
      <c r="AO103" s="6" t="s">
        <v>701</v>
      </c>
      <c r="AP103" s="6">
        <v>1</v>
      </c>
      <c r="AQ103" s="6" t="s">
        <v>785</v>
      </c>
      <c r="AR103" s="6" t="s">
        <v>1401</v>
      </c>
      <c r="AS103" s="6">
        <v>1</v>
      </c>
      <c r="AT103" s="6">
        <v>0</v>
      </c>
      <c r="AU103" s="6">
        <v>0</v>
      </c>
      <c r="AV103" s="6">
        <v>0</v>
      </c>
      <c r="AW103" s="6" t="s">
        <v>818</v>
      </c>
      <c r="AX103" s="31">
        <v>0</v>
      </c>
      <c r="AY103" s="31">
        <v>4</v>
      </c>
      <c r="AZ103" s="31">
        <v>0</v>
      </c>
      <c r="BA103" s="12">
        <f t="shared" si="6"/>
        <v>4</v>
      </c>
      <c r="BB103" s="31">
        <v>3</v>
      </c>
      <c r="BC103" s="31">
        <v>0</v>
      </c>
      <c r="BD103" s="31">
        <v>0</v>
      </c>
      <c r="BE103" s="31">
        <v>0</v>
      </c>
      <c r="BF103" s="12">
        <f t="shared" si="7"/>
        <v>0</v>
      </c>
      <c r="BG103" s="6" t="s">
        <v>636</v>
      </c>
      <c r="BH103" s="6" t="s">
        <v>1394</v>
      </c>
      <c r="BI103" s="6">
        <v>1</v>
      </c>
      <c r="BJ103" s="6" t="s">
        <v>609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</row>
    <row r="104" spans="1:70" ht="72" customHeight="1" x14ac:dyDescent="0.3">
      <c r="A104" s="6">
        <v>682177</v>
      </c>
      <c r="B104" s="6" t="s">
        <v>46</v>
      </c>
      <c r="C104" s="15" t="s">
        <v>259</v>
      </c>
      <c r="D104" s="6" t="s">
        <v>47</v>
      </c>
      <c r="E104" s="6" t="s">
        <v>15</v>
      </c>
      <c r="F104" s="7">
        <v>42101</v>
      </c>
      <c r="G104" s="7">
        <v>42130</v>
      </c>
      <c r="H104" s="8" t="s">
        <v>101</v>
      </c>
      <c r="I104" s="3" t="s">
        <v>48</v>
      </c>
      <c r="J104" s="3" t="s">
        <v>18</v>
      </c>
      <c r="K104" t="s">
        <v>19</v>
      </c>
      <c r="L104" s="6" t="s">
        <v>695</v>
      </c>
      <c r="M104" s="14" t="s">
        <v>626</v>
      </c>
      <c r="N104" s="6" t="s">
        <v>657</v>
      </c>
      <c r="O104" s="6">
        <v>0</v>
      </c>
      <c r="P104" s="6" t="s">
        <v>713</v>
      </c>
      <c r="Q104" s="35">
        <v>1</v>
      </c>
      <c r="R104" s="35">
        <v>0</v>
      </c>
      <c r="S104" s="35">
        <v>0</v>
      </c>
      <c r="T104" s="35">
        <v>1</v>
      </c>
      <c r="U104" s="35">
        <v>0</v>
      </c>
      <c r="V104" s="35">
        <v>0</v>
      </c>
      <c r="W104" s="35">
        <v>0</v>
      </c>
      <c r="X104" s="6" t="s">
        <v>657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14" t="s">
        <v>21</v>
      </c>
      <c r="AE104" s="13" t="s">
        <v>260</v>
      </c>
      <c r="AF104" s="13" t="s">
        <v>92</v>
      </c>
      <c r="AG104" s="8" t="s">
        <v>1357</v>
      </c>
      <c r="AH104" s="11">
        <v>41022</v>
      </c>
      <c r="AI104" s="10">
        <v>622</v>
      </c>
      <c r="AJ104" s="12">
        <v>170</v>
      </c>
      <c r="AK104" s="12">
        <f t="shared" si="9"/>
        <v>27.331189710610932</v>
      </c>
      <c r="AL104" s="12" t="str">
        <f t="shared" si="8"/>
        <v>25% a 50%</v>
      </c>
      <c r="AM104" s="6" t="s">
        <v>878</v>
      </c>
      <c r="AN104" s="6" t="s">
        <v>1455</v>
      </c>
      <c r="AO104" s="6" t="s">
        <v>699</v>
      </c>
      <c r="AP104" s="6">
        <v>0</v>
      </c>
      <c r="AQ104" s="6" t="s">
        <v>628</v>
      </c>
      <c r="AR104" s="6" t="s">
        <v>1400</v>
      </c>
      <c r="AS104" s="6">
        <v>1</v>
      </c>
      <c r="AT104" s="6">
        <v>0</v>
      </c>
      <c r="AU104" s="6">
        <v>0</v>
      </c>
      <c r="AV104" s="6">
        <v>0</v>
      </c>
      <c r="AW104" s="6" t="s">
        <v>652</v>
      </c>
      <c r="AX104" s="31">
        <v>2</v>
      </c>
      <c r="AY104" s="31">
        <v>0</v>
      </c>
      <c r="AZ104" s="31">
        <v>0</v>
      </c>
      <c r="BA104" s="12">
        <f t="shared" si="6"/>
        <v>24.333333333333332</v>
      </c>
      <c r="BB104" s="31">
        <v>10</v>
      </c>
      <c r="BC104" s="31">
        <v>0</v>
      </c>
      <c r="BD104" s="31">
        <v>0</v>
      </c>
      <c r="BE104" s="31">
        <v>0</v>
      </c>
      <c r="BF104" s="12">
        <f t="shared" si="7"/>
        <v>0</v>
      </c>
      <c r="BG104" s="6" t="s">
        <v>636</v>
      </c>
      <c r="BH104" s="6" t="s">
        <v>1394</v>
      </c>
      <c r="BI104" s="6">
        <v>1</v>
      </c>
      <c r="BJ104" s="6" t="s">
        <v>609</v>
      </c>
      <c r="BK104" s="6">
        <v>0</v>
      </c>
      <c r="BL104" s="6">
        <v>0</v>
      </c>
      <c r="BM104" s="6">
        <v>0</v>
      </c>
      <c r="BN104" s="6">
        <v>1</v>
      </c>
      <c r="BO104" s="6">
        <v>0</v>
      </c>
      <c r="BP104" s="6">
        <v>0</v>
      </c>
      <c r="BQ104" s="6">
        <v>0</v>
      </c>
      <c r="BR104" s="6">
        <v>0</v>
      </c>
    </row>
    <row r="105" spans="1:70" ht="71.400000000000006" customHeight="1" x14ac:dyDescent="0.3">
      <c r="A105" s="6">
        <v>594208</v>
      </c>
      <c r="B105" s="6" t="s">
        <v>13</v>
      </c>
      <c r="C105" s="15" t="s">
        <v>879</v>
      </c>
      <c r="D105" s="6" t="s">
        <v>55</v>
      </c>
      <c r="E105" s="6" t="s">
        <v>15</v>
      </c>
      <c r="F105" s="7">
        <v>41922</v>
      </c>
      <c r="G105" s="7">
        <v>42222</v>
      </c>
      <c r="H105" s="8" t="s">
        <v>59</v>
      </c>
      <c r="I105" s="3" t="s">
        <v>48</v>
      </c>
      <c r="J105" s="3" t="s">
        <v>18</v>
      </c>
      <c r="K105" t="s">
        <v>19</v>
      </c>
      <c r="L105" s="6" t="s">
        <v>696</v>
      </c>
      <c r="M105" s="14" t="s">
        <v>626</v>
      </c>
      <c r="N105" s="6" t="s">
        <v>657</v>
      </c>
      <c r="O105" s="6">
        <v>0</v>
      </c>
      <c r="P105" s="6" t="s">
        <v>713</v>
      </c>
      <c r="Q105" s="35">
        <v>1</v>
      </c>
      <c r="R105" s="35">
        <v>0</v>
      </c>
      <c r="S105" s="35">
        <v>0</v>
      </c>
      <c r="T105" s="35">
        <v>1</v>
      </c>
      <c r="U105" s="35">
        <v>0</v>
      </c>
      <c r="V105" s="35">
        <v>0</v>
      </c>
      <c r="W105" s="35">
        <v>0</v>
      </c>
      <c r="X105" s="6" t="s">
        <v>657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14" t="s">
        <v>43</v>
      </c>
      <c r="AE105" s="13" t="s">
        <v>261</v>
      </c>
      <c r="AF105" s="13" t="s">
        <v>880</v>
      </c>
      <c r="AG105" s="8" t="s">
        <v>1349</v>
      </c>
      <c r="AH105" s="11">
        <v>41218</v>
      </c>
      <c r="AI105" s="10">
        <v>622</v>
      </c>
      <c r="AJ105" s="12">
        <v>4479</v>
      </c>
      <c r="AK105" s="12">
        <f t="shared" si="9"/>
        <v>720.09646302250803</v>
      </c>
      <c r="AL105" s="12" t="str">
        <f t="shared" si="8"/>
        <v>Acima de 50%</v>
      </c>
      <c r="AM105" s="6" t="s">
        <v>737</v>
      </c>
      <c r="AN105" s="6" t="s">
        <v>1454</v>
      </c>
      <c r="AO105" s="6" t="s">
        <v>699</v>
      </c>
      <c r="AP105" s="6">
        <v>0</v>
      </c>
      <c r="AQ105" s="6" t="s">
        <v>810</v>
      </c>
      <c r="AR105" s="6" t="s">
        <v>1400</v>
      </c>
      <c r="AS105" s="6">
        <v>1</v>
      </c>
      <c r="AT105" s="6">
        <v>0</v>
      </c>
      <c r="AU105" s="6">
        <v>0</v>
      </c>
      <c r="AV105" s="6">
        <v>0</v>
      </c>
      <c r="AW105" s="6" t="s">
        <v>652</v>
      </c>
      <c r="AX105" s="31">
        <v>2</v>
      </c>
      <c r="AY105" s="31">
        <v>0</v>
      </c>
      <c r="AZ105" s="31">
        <v>0</v>
      </c>
      <c r="BA105" s="12">
        <f t="shared" si="6"/>
        <v>24.333333333333332</v>
      </c>
      <c r="BB105" s="31">
        <v>10</v>
      </c>
      <c r="BC105" s="31">
        <v>0</v>
      </c>
      <c r="BD105" s="31">
        <v>0</v>
      </c>
      <c r="BE105" s="31">
        <v>0</v>
      </c>
      <c r="BF105" s="12">
        <f t="shared" si="7"/>
        <v>0</v>
      </c>
      <c r="BG105" s="6" t="s">
        <v>636</v>
      </c>
      <c r="BH105" s="6" t="s">
        <v>1394</v>
      </c>
      <c r="BI105" s="6">
        <v>1</v>
      </c>
      <c r="BJ105" s="6" t="s">
        <v>609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</row>
    <row r="106" spans="1:70" ht="60" customHeight="1" x14ac:dyDescent="0.3">
      <c r="A106" s="6">
        <v>1593299</v>
      </c>
      <c r="B106" s="6" t="s">
        <v>26</v>
      </c>
      <c r="C106" s="15" t="s">
        <v>262</v>
      </c>
      <c r="D106" s="6" t="s">
        <v>28</v>
      </c>
      <c r="E106" s="6" t="s">
        <v>15</v>
      </c>
      <c r="F106" s="7">
        <v>42467</v>
      </c>
      <c r="G106" s="7">
        <v>42486</v>
      </c>
      <c r="H106" s="8" t="s">
        <v>38</v>
      </c>
      <c r="I106" s="3" t="s">
        <v>48</v>
      </c>
      <c r="J106" s="3" t="s">
        <v>18</v>
      </c>
      <c r="K106" t="s">
        <v>19</v>
      </c>
      <c r="L106" s="6" t="s">
        <v>696</v>
      </c>
      <c r="M106" s="14" t="s">
        <v>1008</v>
      </c>
      <c r="N106" s="6" t="s">
        <v>657</v>
      </c>
      <c r="O106" s="6">
        <v>0</v>
      </c>
      <c r="P106" s="6" t="s">
        <v>882</v>
      </c>
      <c r="Q106" s="35">
        <v>0</v>
      </c>
      <c r="R106" s="35">
        <v>1</v>
      </c>
      <c r="S106" s="35">
        <v>0</v>
      </c>
      <c r="T106" s="35">
        <v>1</v>
      </c>
      <c r="U106" s="35">
        <v>0</v>
      </c>
      <c r="V106" s="35">
        <v>0</v>
      </c>
      <c r="W106" s="35">
        <v>0</v>
      </c>
      <c r="X106" s="6" t="s">
        <v>801</v>
      </c>
      <c r="Y106" s="6">
        <v>1</v>
      </c>
      <c r="Z106" s="6">
        <v>0</v>
      </c>
      <c r="AA106" s="6">
        <v>0</v>
      </c>
      <c r="AB106" s="6">
        <v>1</v>
      </c>
      <c r="AC106" s="6">
        <v>0</v>
      </c>
      <c r="AD106" s="14" t="s">
        <v>21</v>
      </c>
      <c r="AE106" s="13" t="s">
        <v>263</v>
      </c>
      <c r="AF106" s="13" t="s">
        <v>881</v>
      </c>
      <c r="AG106" s="8" t="s">
        <v>1357</v>
      </c>
      <c r="AH106" s="11">
        <v>41795</v>
      </c>
      <c r="AI106" s="10">
        <v>724</v>
      </c>
      <c r="AJ106" s="12">
        <v>15</v>
      </c>
      <c r="AK106" s="12">
        <f t="shared" si="9"/>
        <v>2.0718232044198892</v>
      </c>
      <c r="AL106" s="12" t="str">
        <f t="shared" si="8"/>
        <v>Até 10%</v>
      </c>
      <c r="AM106" s="6" t="s">
        <v>737</v>
      </c>
      <c r="AN106" s="6" t="s">
        <v>1454</v>
      </c>
      <c r="AO106" s="6" t="s">
        <v>699</v>
      </c>
      <c r="AP106" s="6">
        <v>0</v>
      </c>
      <c r="AQ106" s="6" t="s">
        <v>1415</v>
      </c>
      <c r="AR106" s="6" t="s">
        <v>1400</v>
      </c>
      <c r="AS106" s="6">
        <v>1</v>
      </c>
      <c r="AT106" s="6">
        <v>1</v>
      </c>
      <c r="AU106" s="6">
        <v>0</v>
      </c>
      <c r="AV106" s="6">
        <v>2</v>
      </c>
      <c r="AW106" s="6">
        <v>0</v>
      </c>
      <c r="AX106" s="31">
        <v>0</v>
      </c>
      <c r="AY106" s="31">
        <v>0</v>
      </c>
      <c r="AZ106" s="31">
        <v>0</v>
      </c>
      <c r="BA106" s="12">
        <f t="shared" si="6"/>
        <v>0</v>
      </c>
      <c r="BB106" s="31">
        <v>0</v>
      </c>
      <c r="BC106" s="31">
        <v>0</v>
      </c>
      <c r="BD106" s="31">
        <v>0</v>
      </c>
      <c r="BE106" s="31">
        <v>0</v>
      </c>
      <c r="BF106" s="12">
        <f t="shared" si="7"/>
        <v>0</v>
      </c>
      <c r="BG106" s="6">
        <v>0</v>
      </c>
      <c r="BH106" s="6">
        <v>0</v>
      </c>
      <c r="BI106" s="6">
        <v>0</v>
      </c>
      <c r="BJ106" s="6" t="s">
        <v>620</v>
      </c>
      <c r="BK106" s="6">
        <v>0</v>
      </c>
      <c r="BL106" s="6">
        <v>1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</row>
    <row r="107" spans="1:70" ht="52.8" customHeight="1" x14ac:dyDescent="0.3">
      <c r="A107" s="6">
        <v>660240</v>
      </c>
      <c r="B107" s="6" t="s">
        <v>46</v>
      </c>
      <c r="C107" s="15" t="s">
        <v>264</v>
      </c>
      <c r="D107" s="6" t="s">
        <v>64</v>
      </c>
      <c r="E107" s="6" t="s">
        <v>15</v>
      </c>
      <c r="F107" s="7">
        <v>42059</v>
      </c>
      <c r="G107" s="7">
        <v>42164</v>
      </c>
      <c r="H107" s="8" t="s">
        <v>94</v>
      </c>
      <c r="I107" s="3" t="s">
        <v>48</v>
      </c>
      <c r="J107" s="3" t="s">
        <v>18</v>
      </c>
      <c r="K107" t="s">
        <v>19</v>
      </c>
      <c r="L107" s="6" t="s">
        <v>695</v>
      </c>
      <c r="M107" s="14" t="s">
        <v>626</v>
      </c>
      <c r="N107" s="6" t="s">
        <v>657</v>
      </c>
      <c r="O107" s="6">
        <v>0</v>
      </c>
      <c r="P107" s="6" t="s">
        <v>713</v>
      </c>
      <c r="Q107" s="35">
        <v>1</v>
      </c>
      <c r="R107" s="35">
        <v>0</v>
      </c>
      <c r="S107" s="35">
        <v>0</v>
      </c>
      <c r="T107" s="35">
        <v>1</v>
      </c>
      <c r="U107" s="35">
        <v>0</v>
      </c>
      <c r="V107" s="35">
        <v>0</v>
      </c>
      <c r="W107" s="35">
        <v>0</v>
      </c>
      <c r="X107" s="6" t="s">
        <v>801</v>
      </c>
      <c r="Y107" s="6">
        <v>1</v>
      </c>
      <c r="Z107" s="6">
        <v>0</v>
      </c>
      <c r="AA107" s="6">
        <v>0</v>
      </c>
      <c r="AB107" s="6">
        <v>1</v>
      </c>
      <c r="AC107" s="6">
        <v>0</v>
      </c>
      <c r="AD107" s="14" t="s">
        <v>21</v>
      </c>
      <c r="AE107" s="13" t="s">
        <v>265</v>
      </c>
      <c r="AF107" s="13" t="s">
        <v>66</v>
      </c>
      <c r="AG107" s="8" t="s">
        <v>1357</v>
      </c>
      <c r="AH107" s="11">
        <v>40026</v>
      </c>
      <c r="AI107" s="10">
        <v>465</v>
      </c>
      <c r="AJ107" s="12">
        <v>90</v>
      </c>
      <c r="AK107" s="12">
        <f t="shared" si="9"/>
        <v>19.35483870967742</v>
      </c>
      <c r="AL107" s="12" t="str">
        <f t="shared" si="8"/>
        <v>10% a 25%</v>
      </c>
      <c r="AM107" s="6" t="s">
        <v>622</v>
      </c>
      <c r="AN107" s="6" t="s">
        <v>622</v>
      </c>
      <c r="AO107" s="6" t="s">
        <v>885</v>
      </c>
      <c r="AP107" s="6">
        <v>1</v>
      </c>
      <c r="AQ107" s="6" t="s">
        <v>886</v>
      </c>
      <c r="AR107" s="6" t="s">
        <v>1400</v>
      </c>
      <c r="AS107" s="6">
        <v>1</v>
      </c>
      <c r="AT107" s="6">
        <v>0</v>
      </c>
      <c r="AU107" s="6">
        <v>0</v>
      </c>
      <c r="AV107" s="6">
        <v>0</v>
      </c>
      <c r="AW107" s="6" t="s">
        <v>884</v>
      </c>
      <c r="AX107" s="31">
        <v>0</v>
      </c>
      <c r="AY107" s="31">
        <v>7</v>
      </c>
      <c r="AZ107" s="31">
        <v>0</v>
      </c>
      <c r="BA107" s="12">
        <f t="shared" si="6"/>
        <v>7</v>
      </c>
      <c r="BB107" s="31">
        <v>6</v>
      </c>
      <c r="BC107" s="31">
        <v>0</v>
      </c>
      <c r="BD107" s="31">
        <v>0</v>
      </c>
      <c r="BE107" s="31">
        <v>0</v>
      </c>
      <c r="BF107" s="12">
        <f t="shared" si="7"/>
        <v>0</v>
      </c>
      <c r="BG107" s="6" t="s">
        <v>636</v>
      </c>
      <c r="BH107" s="6" t="s">
        <v>1394</v>
      </c>
      <c r="BI107" s="6">
        <v>1</v>
      </c>
      <c r="BJ107" s="6" t="s">
        <v>609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</row>
    <row r="108" spans="1:70" ht="52.8" customHeight="1" x14ac:dyDescent="0.3">
      <c r="A108" s="6">
        <v>593091</v>
      </c>
      <c r="B108" s="6" t="s">
        <v>46</v>
      </c>
      <c r="C108" s="27" t="s">
        <v>1294</v>
      </c>
      <c r="D108" s="6" t="s">
        <v>47</v>
      </c>
      <c r="E108" s="6" t="s">
        <v>15</v>
      </c>
      <c r="F108" s="20">
        <v>41893</v>
      </c>
      <c r="G108" s="20">
        <v>41905</v>
      </c>
      <c r="H108" s="8" t="s">
        <v>94</v>
      </c>
      <c r="I108" s="3" t="s">
        <v>17</v>
      </c>
      <c r="J108" s="3" t="s">
        <v>18</v>
      </c>
      <c r="K108" t="s">
        <v>19</v>
      </c>
      <c r="L108" s="6" t="s">
        <v>695</v>
      </c>
      <c r="M108" s="14" t="s">
        <v>724</v>
      </c>
      <c r="N108" s="6" t="s">
        <v>657</v>
      </c>
      <c r="O108" s="6">
        <v>0</v>
      </c>
      <c r="P108" s="6" t="s">
        <v>942</v>
      </c>
      <c r="Q108" s="35">
        <v>0</v>
      </c>
      <c r="R108" s="35">
        <v>0</v>
      </c>
      <c r="S108" s="35">
        <v>1</v>
      </c>
      <c r="T108" s="35">
        <v>0</v>
      </c>
      <c r="U108" s="35">
        <v>0</v>
      </c>
      <c r="V108" s="35">
        <v>0</v>
      </c>
      <c r="W108" s="35">
        <v>0</v>
      </c>
      <c r="X108" s="6" t="s">
        <v>866</v>
      </c>
      <c r="Y108" s="6">
        <v>1</v>
      </c>
      <c r="Z108" s="6">
        <v>1</v>
      </c>
      <c r="AA108" s="6">
        <v>0</v>
      </c>
      <c r="AB108" s="6">
        <v>0</v>
      </c>
      <c r="AC108" s="6">
        <v>0</v>
      </c>
      <c r="AD108" s="14" t="s">
        <v>21</v>
      </c>
      <c r="AE108" s="13" t="s">
        <v>266</v>
      </c>
      <c r="AF108" s="13" t="s">
        <v>92</v>
      </c>
      <c r="AG108" s="8" t="s">
        <v>1357</v>
      </c>
      <c r="AH108" s="21">
        <v>40583</v>
      </c>
      <c r="AI108" s="10">
        <v>545</v>
      </c>
      <c r="AJ108" s="12">
        <v>150</v>
      </c>
      <c r="AK108" s="12">
        <f t="shared" si="9"/>
        <v>27.522935779816514</v>
      </c>
      <c r="AL108" s="12" t="str">
        <f t="shared" si="8"/>
        <v>25% a 50%</v>
      </c>
      <c r="AM108" s="6" t="s">
        <v>786</v>
      </c>
      <c r="AN108" s="6" t="s">
        <v>1455</v>
      </c>
      <c r="AO108" s="6" t="s">
        <v>701</v>
      </c>
      <c r="AP108" s="6">
        <v>1</v>
      </c>
      <c r="AQ108" s="6" t="s">
        <v>682</v>
      </c>
      <c r="AR108" s="6" t="s">
        <v>1400</v>
      </c>
      <c r="AS108" s="6">
        <v>1</v>
      </c>
      <c r="AT108" s="6">
        <v>0</v>
      </c>
      <c r="AU108" s="6">
        <v>0</v>
      </c>
      <c r="AV108" s="6">
        <v>0</v>
      </c>
      <c r="AW108" s="6" t="s">
        <v>1295</v>
      </c>
      <c r="AX108" s="31">
        <v>2</v>
      </c>
      <c r="AY108" s="31">
        <v>0</v>
      </c>
      <c r="AZ108" s="31">
        <v>0</v>
      </c>
      <c r="BA108" s="12">
        <f t="shared" si="6"/>
        <v>24.333333333333332</v>
      </c>
      <c r="BB108" s="31">
        <v>24</v>
      </c>
      <c r="BC108" s="31">
        <v>0</v>
      </c>
      <c r="BD108" s="31">
        <v>0</v>
      </c>
      <c r="BE108" s="31">
        <v>0</v>
      </c>
      <c r="BF108" s="12">
        <f t="shared" si="7"/>
        <v>0</v>
      </c>
      <c r="BG108" s="6" t="s">
        <v>615</v>
      </c>
      <c r="BH108" s="6">
        <v>0</v>
      </c>
      <c r="BI108" s="6">
        <v>0</v>
      </c>
      <c r="BJ108" s="6" t="s">
        <v>609</v>
      </c>
      <c r="BK108" s="6">
        <v>0</v>
      </c>
      <c r="BL108" s="6">
        <v>1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</row>
    <row r="109" spans="1:70" ht="52.8" customHeight="1" x14ac:dyDescent="0.3">
      <c r="A109" s="6">
        <v>1478043</v>
      </c>
      <c r="B109" s="6" t="s">
        <v>26</v>
      </c>
      <c r="C109" s="15" t="s">
        <v>267</v>
      </c>
      <c r="D109" s="6" t="s">
        <v>55</v>
      </c>
      <c r="E109" s="6" t="s">
        <v>15</v>
      </c>
      <c r="F109" s="7">
        <v>41884</v>
      </c>
      <c r="G109" s="7">
        <v>41927</v>
      </c>
      <c r="H109" s="8" t="s">
        <v>94</v>
      </c>
      <c r="I109" s="3" t="s">
        <v>48</v>
      </c>
      <c r="J109" s="3" t="s">
        <v>18</v>
      </c>
      <c r="K109" t="s">
        <v>19</v>
      </c>
      <c r="L109" s="6" t="s">
        <v>695</v>
      </c>
      <c r="M109" s="14" t="s">
        <v>1007</v>
      </c>
      <c r="N109" s="6" t="s">
        <v>657</v>
      </c>
      <c r="O109" s="6">
        <v>0</v>
      </c>
      <c r="P109" s="6" t="s">
        <v>729</v>
      </c>
      <c r="Q109" s="35">
        <v>0</v>
      </c>
      <c r="R109" s="35">
        <v>0</v>
      </c>
      <c r="S109" s="35">
        <v>0</v>
      </c>
      <c r="T109" s="35">
        <v>1</v>
      </c>
      <c r="U109" s="35">
        <v>0</v>
      </c>
      <c r="V109" s="35">
        <v>0</v>
      </c>
      <c r="W109" s="35">
        <v>0</v>
      </c>
      <c r="X109" s="6" t="s">
        <v>657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14" t="s">
        <v>21</v>
      </c>
      <c r="AE109" s="13" t="s">
        <v>268</v>
      </c>
      <c r="AF109" s="13" t="s">
        <v>887</v>
      </c>
      <c r="AG109" s="8" t="s">
        <v>1357</v>
      </c>
      <c r="AH109" s="11">
        <v>41300</v>
      </c>
      <c r="AI109" s="10">
        <v>678</v>
      </c>
      <c r="AJ109" s="12">
        <v>54.9</v>
      </c>
      <c r="AK109" s="12">
        <f t="shared" si="9"/>
        <v>8.0973451327433619</v>
      </c>
      <c r="AL109" s="12" t="str">
        <f t="shared" si="8"/>
        <v>Até 10%</v>
      </c>
      <c r="AM109" s="6" t="s">
        <v>888</v>
      </c>
      <c r="AN109" s="6" t="s">
        <v>1454</v>
      </c>
      <c r="AO109" s="6" t="s">
        <v>699</v>
      </c>
      <c r="AP109" s="6">
        <v>0</v>
      </c>
      <c r="AQ109" s="6" t="s">
        <v>628</v>
      </c>
      <c r="AR109" s="6" t="s">
        <v>1400</v>
      </c>
      <c r="AS109" s="6">
        <v>1</v>
      </c>
      <c r="AT109" s="6">
        <v>0</v>
      </c>
      <c r="AU109" s="6">
        <v>0</v>
      </c>
      <c r="AV109" s="6">
        <v>0</v>
      </c>
      <c r="AW109" s="19" t="s">
        <v>889</v>
      </c>
      <c r="AX109" s="32">
        <v>2</v>
      </c>
      <c r="AY109" s="32">
        <v>9</v>
      </c>
      <c r="AZ109" s="32">
        <v>0</v>
      </c>
      <c r="BA109" s="12">
        <f t="shared" si="6"/>
        <v>33.333333333333336</v>
      </c>
      <c r="BB109" s="32">
        <v>15</v>
      </c>
      <c r="BC109" s="31">
        <v>0</v>
      </c>
      <c r="BD109" s="31">
        <v>0</v>
      </c>
      <c r="BE109" s="31">
        <v>0</v>
      </c>
      <c r="BF109" s="12">
        <f t="shared" si="7"/>
        <v>0</v>
      </c>
      <c r="BG109" s="6" t="s">
        <v>611</v>
      </c>
      <c r="BH109" s="6">
        <v>0</v>
      </c>
      <c r="BI109" s="6">
        <v>0</v>
      </c>
      <c r="BJ109" s="6" t="s">
        <v>609</v>
      </c>
      <c r="BK109" s="6">
        <v>1</v>
      </c>
      <c r="BL109" s="6">
        <v>1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</row>
    <row r="110" spans="1:70" ht="52.8" customHeight="1" x14ac:dyDescent="0.3">
      <c r="A110" s="6">
        <v>1521739</v>
      </c>
      <c r="B110" s="6" t="s">
        <v>13</v>
      </c>
      <c r="C110" s="15" t="s">
        <v>1304</v>
      </c>
      <c r="D110" s="6" t="s">
        <v>41</v>
      </c>
      <c r="E110" s="6" t="s">
        <v>15</v>
      </c>
      <c r="F110" s="7">
        <v>42090</v>
      </c>
      <c r="G110" s="7">
        <v>43010</v>
      </c>
      <c r="H110" s="8" t="s">
        <v>42</v>
      </c>
      <c r="I110" s="3" t="s">
        <v>48</v>
      </c>
      <c r="J110" s="3" t="s">
        <v>18</v>
      </c>
      <c r="K110" t="s">
        <v>19</v>
      </c>
      <c r="L110" s="6" t="s">
        <v>696</v>
      </c>
      <c r="M110" s="14" t="s">
        <v>626</v>
      </c>
      <c r="N110" s="6" t="s">
        <v>657</v>
      </c>
      <c r="O110" s="6">
        <v>0</v>
      </c>
      <c r="P110" s="6" t="s">
        <v>891</v>
      </c>
      <c r="Q110" s="35">
        <v>1</v>
      </c>
      <c r="R110" s="35">
        <v>0</v>
      </c>
      <c r="S110" s="35">
        <v>1</v>
      </c>
      <c r="T110" s="35">
        <v>0</v>
      </c>
      <c r="U110" s="35">
        <v>0</v>
      </c>
      <c r="V110" s="35">
        <v>0</v>
      </c>
      <c r="W110" s="35">
        <v>0</v>
      </c>
      <c r="X110" s="6" t="s">
        <v>657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14" t="s">
        <v>21</v>
      </c>
      <c r="AE110" s="13" t="s">
        <v>269</v>
      </c>
      <c r="AF110" s="13" t="s">
        <v>45</v>
      </c>
      <c r="AG110" s="8" t="s">
        <v>1357</v>
      </c>
      <c r="AH110" s="11">
        <v>40621</v>
      </c>
      <c r="AI110" s="10">
        <v>545</v>
      </c>
      <c r="AJ110" s="12">
        <v>307</v>
      </c>
      <c r="AK110" s="12">
        <f t="shared" si="9"/>
        <v>56.330275229357795</v>
      </c>
      <c r="AL110" s="12" t="str">
        <f t="shared" si="8"/>
        <v>Acima de 50%</v>
      </c>
      <c r="AM110" s="6" t="s">
        <v>737</v>
      </c>
      <c r="AN110" s="6" t="s">
        <v>1454</v>
      </c>
      <c r="AO110" s="6" t="s">
        <v>699</v>
      </c>
      <c r="AP110" s="6">
        <v>0</v>
      </c>
      <c r="AQ110" s="6" t="s">
        <v>625</v>
      </c>
      <c r="AR110" s="6" t="s">
        <v>1400</v>
      </c>
      <c r="AS110" s="6">
        <v>1</v>
      </c>
      <c r="AT110" s="6">
        <v>0</v>
      </c>
      <c r="AU110" s="6">
        <v>0</v>
      </c>
      <c r="AV110" s="6">
        <v>0</v>
      </c>
      <c r="AW110" s="6" t="s">
        <v>890</v>
      </c>
      <c r="AX110" s="31">
        <v>2</v>
      </c>
      <c r="AY110" s="31">
        <v>2</v>
      </c>
      <c r="AZ110" s="31">
        <v>0</v>
      </c>
      <c r="BA110" s="12">
        <f t="shared" si="6"/>
        <v>26.333333333333332</v>
      </c>
      <c r="BB110" s="31">
        <v>10</v>
      </c>
      <c r="BC110" s="31">
        <v>0</v>
      </c>
      <c r="BD110" s="31">
        <v>0</v>
      </c>
      <c r="BE110" s="31">
        <v>0</v>
      </c>
      <c r="BF110" s="12">
        <f t="shared" si="7"/>
        <v>0</v>
      </c>
      <c r="BG110" s="6" t="s">
        <v>636</v>
      </c>
      <c r="BH110" s="6" t="s">
        <v>1394</v>
      </c>
      <c r="BI110" s="6">
        <v>1</v>
      </c>
      <c r="BJ110" s="6" t="s">
        <v>609</v>
      </c>
      <c r="BK110" s="6">
        <v>0</v>
      </c>
      <c r="BL110" s="6">
        <v>0</v>
      </c>
      <c r="BM110" s="6">
        <v>0</v>
      </c>
      <c r="BN110" s="6">
        <v>1</v>
      </c>
      <c r="BO110" s="6">
        <v>0</v>
      </c>
      <c r="BP110" s="6">
        <v>0</v>
      </c>
      <c r="BQ110" s="6">
        <v>0</v>
      </c>
      <c r="BR110" s="6">
        <v>0</v>
      </c>
    </row>
    <row r="111" spans="1:70" ht="52.8" customHeight="1" x14ac:dyDescent="0.3">
      <c r="A111" s="6">
        <v>340552</v>
      </c>
      <c r="B111" s="6" t="s">
        <v>24</v>
      </c>
      <c r="C111" s="15" t="s">
        <v>270</v>
      </c>
      <c r="D111" s="6" t="s">
        <v>14</v>
      </c>
      <c r="E111" s="6" t="s">
        <v>15</v>
      </c>
      <c r="F111" s="7">
        <v>42304</v>
      </c>
      <c r="G111" s="7">
        <v>42472</v>
      </c>
      <c r="H111" s="8" t="s">
        <v>94</v>
      </c>
      <c r="I111" s="3" t="s">
        <v>17</v>
      </c>
      <c r="J111" s="3" t="s">
        <v>18</v>
      </c>
      <c r="K111" t="s">
        <v>19</v>
      </c>
      <c r="L111" s="6" t="s">
        <v>695</v>
      </c>
      <c r="M111" s="14" t="s">
        <v>892</v>
      </c>
      <c r="N111" s="6" t="s">
        <v>703</v>
      </c>
      <c r="O111" s="6">
        <v>1</v>
      </c>
      <c r="P111" s="6" t="s">
        <v>895</v>
      </c>
      <c r="Q111" s="35">
        <v>1</v>
      </c>
      <c r="R111" s="35">
        <v>0</v>
      </c>
      <c r="S111" s="35">
        <v>0</v>
      </c>
      <c r="T111" s="35">
        <v>0</v>
      </c>
      <c r="U111" s="35">
        <v>0</v>
      </c>
      <c r="V111" s="35">
        <v>1</v>
      </c>
      <c r="W111" s="35">
        <v>0</v>
      </c>
      <c r="X111" s="6" t="s">
        <v>866</v>
      </c>
      <c r="Y111" s="6">
        <v>1</v>
      </c>
      <c r="Z111" s="6">
        <v>1</v>
      </c>
      <c r="AA111" s="6">
        <v>0</v>
      </c>
      <c r="AB111" s="6">
        <v>0</v>
      </c>
      <c r="AC111" s="6">
        <v>0</v>
      </c>
      <c r="AD111" s="14" t="s">
        <v>43</v>
      </c>
      <c r="AE111" s="13" t="s">
        <v>271</v>
      </c>
      <c r="AF111" s="13" t="s">
        <v>23</v>
      </c>
      <c r="AG111" s="8" t="s">
        <v>1357</v>
      </c>
      <c r="AH111" s="11">
        <v>40780</v>
      </c>
      <c r="AI111" s="10">
        <v>545</v>
      </c>
      <c r="AJ111" s="12">
        <v>12.5</v>
      </c>
      <c r="AK111" s="12">
        <f t="shared" si="9"/>
        <v>2.2935779816513762</v>
      </c>
      <c r="AL111" s="12" t="str">
        <f t="shared" si="8"/>
        <v>Até 10%</v>
      </c>
      <c r="AM111" s="6" t="s">
        <v>893</v>
      </c>
      <c r="AN111" s="6" t="s">
        <v>1454</v>
      </c>
      <c r="AO111" s="6" t="s">
        <v>701</v>
      </c>
      <c r="AP111" s="6">
        <v>1</v>
      </c>
      <c r="AQ111" s="6" t="s">
        <v>658</v>
      </c>
      <c r="AR111" s="6" t="s">
        <v>1399</v>
      </c>
      <c r="AS111" s="6">
        <v>0</v>
      </c>
      <c r="AT111" s="6">
        <v>0</v>
      </c>
      <c r="AU111" s="6">
        <v>0</v>
      </c>
      <c r="AV111" s="6">
        <v>0</v>
      </c>
      <c r="AW111" s="6" t="s">
        <v>894</v>
      </c>
      <c r="AX111" s="31">
        <v>0</v>
      </c>
      <c r="AY111" s="31">
        <v>7</v>
      </c>
      <c r="AZ111" s="31">
        <v>0</v>
      </c>
      <c r="BA111" s="12">
        <f t="shared" si="6"/>
        <v>7</v>
      </c>
      <c r="BB111" s="31">
        <v>5</v>
      </c>
      <c r="BC111" s="31">
        <v>0</v>
      </c>
      <c r="BD111" s="31">
        <v>0</v>
      </c>
      <c r="BE111" s="31">
        <v>0</v>
      </c>
      <c r="BF111" s="12">
        <f t="shared" si="7"/>
        <v>0</v>
      </c>
      <c r="BG111" s="6" t="s">
        <v>611</v>
      </c>
      <c r="BH111" s="6">
        <v>0</v>
      </c>
      <c r="BI111" s="6">
        <v>0</v>
      </c>
      <c r="BJ111" s="6" t="s">
        <v>609</v>
      </c>
      <c r="BK111" s="6">
        <v>0</v>
      </c>
      <c r="BL111" s="6">
        <v>1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</row>
    <row r="112" spans="1:70" ht="52.8" customHeight="1" x14ac:dyDescent="0.3">
      <c r="A112" s="6">
        <v>1519857</v>
      </c>
      <c r="B112" s="6" t="s">
        <v>26</v>
      </c>
      <c r="C112" s="15" t="s">
        <v>272</v>
      </c>
      <c r="D112" s="6" t="s">
        <v>28</v>
      </c>
      <c r="E112" s="6" t="s">
        <v>15</v>
      </c>
      <c r="F112" s="7">
        <v>42081</v>
      </c>
      <c r="G112" s="7">
        <v>42102</v>
      </c>
      <c r="H112" s="8" t="s">
        <v>101</v>
      </c>
      <c r="I112" s="3" t="s">
        <v>48</v>
      </c>
      <c r="J112" s="3" t="s">
        <v>18</v>
      </c>
      <c r="K112" t="s">
        <v>19</v>
      </c>
      <c r="L112" s="6" t="s">
        <v>695</v>
      </c>
      <c r="M112" s="14" t="s">
        <v>899</v>
      </c>
      <c r="N112" s="6" t="s">
        <v>657</v>
      </c>
      <c r="O112" s="6">
        <v>0</v>
      </c>
      <c r="P112" s="6" t="s">
        <v>729</v>
      </c>
      <c r="Q112" s="35">
        <v>0</v>
      </c>
      <c r="R112" s="35">
        <v>0</v>
      </c>
      <c r="S112" s="35">
        <v>0</v>
      </c>
      <c r="T112" s="35">
        <v>1</v>
      </c>
      <c r="U112" s="35">
        <v>0</v>
      </c>
      <c r="V112" s="35">
        <v>0</v>
      </c>
      <c r="W112" s="35">
        <v>0</v>
      </c>
      <c r="X112" s="6" t="s">
        <v>801</v>
      </c>
      <c r="Y112" s="6">
        <v>1</v>
      </c>
      <c r="Z112" s="6">
        <v>0</v>
      </c>
      <c r="AA112" s="6">
        <v>0</v>
      </c>
      <c r="AB112" s="6">
        <v>1</v>
      </c>
      <c r="AC112" s="6">
        <v>0</v>
      </c>
      <c r="AD112" s="14" t="s">
        <v>21</v>
      </c>
      <c r="AE112" s="13" t="s">
        <v>273</v>
      </c>
      <c r="AF112" s="13" t="s">
        <v>881</v>
      </c>
      <c r="AG112" s="8" t="s">
        <v>1357</v>
      </c>
      <c r="AH112" s="11">
        <v>41437</v>
      </c>
      <c r="AI112" s="10">
        <v>678</v>
      </c>
      <c r="AJ112" s="12">
        <v>350</v>
      </c>
      <c r="AK112" s="12">
        <f t="shared" si="9"/>
        <v>51.622418879056042</v>
      </c>
      <c r="AL112" s="12" t="str">
        <f t="shared" si="8"/>
        <v>Acima de 50%</v>
      </c>
      <c r="AM112" s="6" t="s">
        <v>896</v>
      </c>
      <c r="AN112" s="6" t="s">
        <v>1454</v>
      </c>
      <c r="AO112" s="6" t="s">
        <v>699</v>
      </c>
      <c r="AP112" s="6">
        <v>0</v>
      </c>
      <c r="AQ112" s="6" t="s">
        <v>897</v>
      </c>
      <c r="AR112" s="6" t="s">
        <v>1400</v>
      </c>
      <c r="AS112" s="6">
        <v>0</v>
      </c>
      <c r="AT112" s="6">
        <v>0</v>
      </c>
      <c r="AU112" s="6">
        <v>0</v>
      </c>
      <c r="AV112" s="6">
        <v>0</v>
      </c>
      <c r="AW112" s="6" t="s">
        <v>898</v>
      </c>
      <c r="AX112" s="31">
        <v>1</v>
      </c>
      <c r="AY112" s="31">
        <v>0</v>
      </c>
      <c r="AZ112" s="31">
        <v>0</v>
      </c>
      <c r="BA112" s="12">
        <f t="shared" si="6"/>
        <v>12.166666666666666</v>
      </c>
      <c r="BB112" s="31">
        <v>12</v>
      </c>
      <c r="BC112" s="31">
        <v>0</v>
      </c>
      <c r="BD112" s="31">
        <v>0</v>
      </c>
      <c r="BE112" s="31">
        <v>0</v>
      </c>
      <c r="BF112" s="12">
        <f t="shared" si="7"/>
        <v>0</v>
      </c>
      <c r="BG112" s="6" t="s">
        <v>636</v>
      </c>
      <c r="BH112" s="6" t="s">
        <v>1394</v>
      </c>
      <c r="BI112" s="6">
        <v>1</v>
      </c>
      <c r="BJ112" s="6" t="s">
        <v>617</v>
      </c>
      <c r="BK112" s="6">
        <v>0</v>
      </c>
      <c r="BL112" s="6">
        <v>0</v>
      </c>
      <c r="BM112" s="6">
        <v>0</v>
      </c>
      <c r="BN112" s="6">
        <v>0</v>
      </c>
      <c r="BO112" s="6" t="s">
        <v>1033</v>
      </c>
      <c r="BP112" s="6" t="s">
        <v>1461</v>
      </c>
      <c r="BQ112" s="6" t="s">
        <v>1459</v>
      </c>
      <c r="BR112" s="6" t="s">
        <v>1461</v>
      </c>
    </row>
    <row r="113" spans="1:70" ht="52.8" customHeight="1" x14ac:dyDescent="0.3">
      <c r="A113" s="6">
        <v>575778</v>
      </c>
      <c r="B113" s="6" t="s">
        <v>13</v>
      </c>
      <c r="C113" s="15" t="s">
        <v>900</v>
      </c>
      <c r="D113" s="6" t="s">
        <v>55</v>
      </c>
      <c r="E113" s="6" t="s">
        <v>15</v>
      </c>
      <c r="F113" s="7">
        <v>41890</v>
      </c>
      <c r="G113" s="7">
        <v>42705</v>
      </c>
      <c r="H113" s="8" t="s">
        <v>42</v>
      </c>
      <c r="I113" s="3" t="s">
        <v>17</v>
      </c>
      <c r="J113" s="3" t="s">
        <v>18</v>
      </c>
      <c r="K113" t="s">
        <v>19</v>
      </c>
      <c r="L113" s="6" t="s">
        <v>696</v>
      </c>
      <c r="M113" s="14" t="s">
        <v>626</v>
      </c>
      <c r="N113" s="6" t="s">
        <v>657</v>
      </c>
      <c r="O113" s="6">
        <v>0</v>
      </c>
      <c r="P113" s="6" t="s">
        <v>707</v>
      </c>
      <c r="Q113" s="35">
        <v>0</v>
      </c>
      <c r="R113" s="35">
        <v>1</v>
      </c>
      <c r="S113" s="35">
        <v>0</v>
      </c>
      <c r="T113" s="35">
        <v>0</v>
      </c>
      <c r="U113" s="35">
        <v>0</v>
      </c>
      <c r="V113" s="35">
        <v>0</v>
      </c>
      <c r="W113" s="35">
        <v>0</v>
      </c>
      <c r="X113" s="6" t="s">
        <v>657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14" t="s">
        <v>43</v>
      </c>
      <c r="AE113" s="13" t="s">
        <v>274</v>
      </c>
      <c r="AF113" s="13" t="s">
        <v>901</v>
      </c>
      <c r="AG113" s="8" t="s">
        <v>1348</v>
      </c>
      <c r="AH113" s="11">
        <v>41060</v>
      </c>
      <c r="AI113" s="10">
        <v>622</v>
      </c>
      <c r="AJ113" s="12">
        <v>300</v>
      </c>
      <c r="AK113" s="12">
        <f t="shared" si="9"/>
        <v>48.231511254019296</v>
      </c>
      <c r="AL113" s="12" t="str">
        <f t="shared" si="8"/>
        <v>25% a 50%</v>
      </c>
      <c r="AM113" s="6" t="s">
        <v>618</v>
      </c>
      <c r="AN113" s="6" t="s">
        <v>618</v>
      </c>
      <c r="AO113" s="6" t="s">
        <v>701</v>
      </c>
      <c r="AP113" s="6">
        <v>1</v>
      </c>
      <c r="AQ113" s="6" t="s">
        <v>613</v>
      </c>
      <c r="AR113" s="6" t="s">
        <v>1399</v>
      </c>
      <c r="AS113" s="6">
        <v>1</v>
      </c>
      <c r="AT113" s="6">
        <v>0</v>
      </c>
      <c r="AU113" s="6">
        <v>0</v>
      </c>
      <c r="AV113" s="6">
        <v>0</v>
      </c>
      <c r="AW113" s="6" t="s">
        <v>686</v>
      </c>
      <c r="AX113" s="31">
        <v>1</v>
      </c>
      <c r="AY113" s="31">
        <v>0</v>
      </c>
      <c r="AZ113" s="31">
        <v>0</v>
      </c>
      <c r="BA113" s="12">
        <f t="shared" si="6"/>
        <v>12.166666666666666</v>
      </c>
      <c r="BB113" s="31">
        <v>10</v>
      </c>
      <c r="BC113" s="31">
        <v>0</v>
      </c>
      <c r="BD113" s="31">
        <v>0</v>
      </c>
      <c r="BE113" s="31">
        <v>0</v>
      </c>
      <c r="BF113" s="12">
        <f t="shared" si="7"/>
        <v>0</v>
      </c>
      <c r="BG113" s="6" t="s">
        <v>636</v>
      </c>
      <c r="BH113" s="6" t="s">
        <v>1394</v>
      </c>
      <c r="BI113" s="6">
        <v>1</v>
      </c>
      <c r="BJ113" s="6" t="s">
        <v>609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</row>
    <row r="114" spans="1:70" ht="52.8" customHeight="1" x14ac:dyDescent="0.3">
      <c r="A114" s="6">
        <v>1525568</v>
      </c>
      <c r="B114" s="6" t="s">
        <v>13</v>
      </c>
      <c r="C114" s="25" t="s">
        <v>1325</v>
      </c>
      <c r="D114" s="6" t="s">
        <v>64</v>
      </c>
      <c r="E114" s="6" t="s">
        <v>15</v>
      </c>
      <c r="F114" s="7">
        <v>42088</v>
      </c>
      <c r="G114" s="7">
        <v>42269</v>
      </c>
      <c r="H114" s="8" t="s">
        <v>52</v>
      </c>
      <c r="I114" s="3" t="s">
        <v>17</v>
      </c>
      <c r="J114" s="3" t="s">
        <v>18</v>
      </c>
      <c r="K114" t="s">
        <v>19</v>
      </c>
      <c r="L114" s="6" t="s">
        <v>695</v>
      </c>
      <c r="M114" s="14" t="s">
        <v>626</v>
      </c>
      <c r="N114" s="6" t="s">
        <v>657</v>
      </c>
      <c r="O114" s="6">
        <v>0</v>
      </c>
      <c r="P114" s="6" t="s">
        <v>713</v>
      </c>
      <c r="Q114" s="35">
        <v>1</v>
      </c>
      <c r="R114" s="35">
        <v>0</v>
      </c>
      <c r="S114" s="35">
        <v>0</v>
      </c>
      <c r="T114" s="35">
        <v>1</v>
      </c>
      <c r="U114" s="35">
        <v>0</v>
      </c>
      <c r="V114" s="35">
        <v>0</v>
      </c>
      <c r="W114" s="35">
        <v>0</v>
      </c>
      <c r="X114" s="6" t="s">
        <v>1326</v>
      </c>
      <c r="Y114" s="6">
        <v>1</v>
      </c>
      <c r="Z114" s="6">
        <v>0</v>
      </c>
      <c r="AA114" s="6">
        <v>0</v>
      </c>
      <c r="AB114" s="6">
        <v>1</v>
      </c>
      <c r="AC114" s="6">
        <v>1</v>
      </c>
      <c r="AD114" s="14" t="s">
        <v>43</v>
      </c>
      <c r="AE114" s="13" t="s">
        <v>65</v>
      </c>
      <c r="AF114" s="13" t="s">
        <v>194</v>
      </c>
      <c r="AG114" s="8" t="s">
        <v>194</v>
      </c>
      <c r="AH114" s="11">
        <v>41422</v>
      </c>
      <c r="AI114" s="10">
        <v>678</v>
      </c>
      <c r="AJ114" s="12">
        <v>200</v>
      </c>
      <c r="AK114" s="12">
        <f t="shared" si="9"/>
        <v>29.498525073746311</v>
      </c>
      <c r="AL114" s="12" t="str">
        <f t="shared" si="8"/>
        <v>25% a 50%</v>
      </c>
      <c r="AM114" s="6" t="s">
        <v>786</v>
      </c>
      <c r="AN114" s="6" t="s">
        <v>1455</v>
      </c>
      <c r="AO114" s="6" t="s">
        <v>701</v>
      </c>
      <c r="AP114" s="6">
        <v>1</v>
      </c>
      <c r="AQ114" s="6" t="s">
        <v>682</v>
      </c>
      <c r="AR114" s="6" t="s">
        <v>1400</v>
      </c>
      <c r="AS114" s="6">
        <v>1</v>
      </c>
      <c r="AT114" s="6">
        <v>0</v>
      </c>
      <c r="AU114" s="6">
        <v>0</v>
      </c>
      <c r="AV114" s="6">
        <v>0</v>
      </c>
      <c r="AW114" s="6">
        <v>0</v>
      </c>
      <c r="AX114" s="31">
        <v>0</v>
      </c>
      <c r="AY114" s="31">
        <v>0</v>
      </c>
      <c r="AZ114" s="31">
        <v>0</v>
      </c>
      <c r="BA114" s="12">
        <f t="shared" si="6"/>
        <v>0</v>
      </c>
      <c r="BB114" s="31">
        <v>0</v>
      </c>
      <c r="BC114" s="31">
        <v>0</v>
      </c>
      <c r="BD114" s="31">
        <v>0</v>
      </c>
      <c r="BE114" s="31">
        <v>0</v>
      </c>
      <c r="BF114" s="12">
        <f t="shared" si="7"/>
        <v>0</v>
      </c>
      <c r="BG114" s="6">
        <v>0</v>
      </c>
      <c r="BH114" s="6">
        <v>0</v>
      </c>
      <c r="BI114" s="6">
        <v>0</v>
      </c>
      <c r="BJ114" s="6" t="s">
        <v>620</v>
      </c>
      <c r="BK114" s="6">
        <v>0</v>
      </c>
      <c r="BL114" s="6">
        <v>0</v>
      </c>
      <c r="BM114" s="6">
        <v>0</v>
      </c>
      <c r="BN114" s="6">
        <v>0</v>
      </c>
      <c r="BO114" s="6" t="s">
        <v>1034</v>
      </c>
      <c r="BP114" s="6" t="s">
        <v>1459</v>
      </c>
      <c r="BQ114" s="6" t="s">
        <v>1460</v>
      </c>
      <c r="BR114" s="6" t="s">
        <v>1460</v>
      </c>
    </row>
    <row r="115" spans="1:70" ht="52.8" customHeight="1" x14ac:dyDescent="0.3">
      <c r="A115" s="6">
        <v>321197</v>
      </c>
      <c r="B115" s="6" t="s">
        <v>24</v>
      </c>
      <c r="C115" s="15" t="s">
        <v>276</v>
      </c>
      <c r="D115" s="6" t="s">
        <v>41</v>
      </c>
      <c r="E115" s="6" t="s">
        <v>15</v>
      </c>
      <c r="F115" s="7">
        <v>42107</v>
      </c>
      <c r="G115" s="7">
        <v>42150</v>
      </c>
      <c r="H115" s="8" t="s">
        <v>101</v>
      </c>
      <c r="I115" s="3" t="s">
        <v>17</v>
      </c>
      <c r="J115" s="3" t="s">
        <v>18</v>
      </c>
      <c r="K115" t="s">
        <v>19</v>
      </c>
      <c r="L115" s="6" t="s">
        <v>695</v>
      </c>
      <c r="M115" s="14" t="s">
        <v>892</v>
      </c>
      <c r="N115" s="6" t="s">
        <v>703</v>
      </c>
      <c r="O115" s="6">
        <v>1</v>
      </c>
      <c r="P115" s="29" t="s">
        <v>847</v>
      </c>
      <c r="Q115" s="35">
        <v>1</v>
      </c>
      <c r="R115" s="35">
        <v>0</v>
      </c>
      <c r="S115" s="35">
        <v>0</v>
      </c>
      <c r="T115" s="35">
        <v>0</v>
      </c>
      <c r="U115" s="35">
        <v>0</v>
      </c>
      <c r="V115" s="35">
        <v>1</v>
      </c>
      <c r="W115" s="35">
        <v>0</v>
      </c>
      <c r="X115" s="6" t="s">
        <v>761</v>
      </c>
      <c r="Y115" s="6">
        <v>1</v>
      </c>
      <c r="Z115" s="6">
        <v>1</v>
      </c>
      <c r="AA115" s="6">
        <v>0</v>
      </c>
      <c r="AB115" s="6">
        <v>1</v>
      </c>
      <c r="AC115" s="6">
        <v>0</v>
      </c>
      <c r="AD115" s="14" t="s">
        <v>43</v>
      </c>
      <c r="AE115" s="13" t="s">
        <v>277</v>
      </c>
      <c r="AF115" s="13" t="s">
        <v>45</v>
      </c>
      <c r="AG115" s="8" t="s">
        <v>1357</v>
      </c>
      <c r="AH115" s="11">
        <v>41670</v>
      </c>
      <c r="AI115" s="10">
        <v>724</v>
      </c>
      <c r="AJ115" s="12">
        <v>39.979999999999997</v>
      </c>
      <c r="AK115" s="12">
        <f t="shared" si="9"/>
        <v>5.5220994475138117</v>
      </c>
      <c r="AL115" s="12" t="str">
        <f t="shared" si="8"/>
        <v>Até 10%</v>
      </c>
      <c r="AM115" s="6" t="s">
        <v>903</v>
      </c>
      <c r="AN115" s="6" t="s">
        <v>655</v>
      </c>
      <c r="AO115" s="6" t="s">
        <v>701</v>
      </c>
      <c r="AP115" s="6">
        <v>1</v>
      </c>
      <c r="AQ115" s="6" t="s">
        <v>613</v>
      </c>
      <c r="AR115" s="6" t="s">
        <v>1399</v>
      </c>
      <c r="AS115" s="6">
        <v>1</v>
      </c>
      <c r="AT115" s="6">
        <v>0</v>
      </c>
      <c r="AU115" s="6">
        <v>0</v>
      </c>
      <c r="AV115" s="6">
        <v>0</v>
      </c>
      <c r="AW115" s="6" t="s">
        <v>869</v>
      </c>
      <c r="AX115" s="31">
        <v>1</v>
      </c>
      <c r="AY115" s="31">
        <v>4</v>
      </c>
      <c r="AZ115" s="31">
        <v>0</v>
      </c>
      <c r="BA115" s="12">
        <f t="shared" si="6"/>
        <v>16.166666666666668</v>
      </c>
      <c r="BB115" s="31">
        <v>10</v>
      </c>
      <c r="BC115" s="31">
        <v>0</v>
      </c>
      <c r="BD115" s="31">
        <v>0</v>
      </c>
      <c r="BE115" s="31">
        <v>0</v>
      </c>
      <c r="BF115" s="12">
        <f t="shared" si="7"/>
        <v>0</v>
      </c>
      <c r="BG115" s="6" t="s">
        <v>637</v>
      </c>
      <c r="BH115" s="6" t="s">
        <v>1394</v>
      </c>
      <c r="BI115" s="6">
        <v>0</v>
      </c>
      <c r="BJ115" s="6" t="s">
        <v>609</v>
      </c>
      <c r="BK115" s="6">
        <v>0</v>
      </c>
      <c r="BL115" s="6">
        <v>1</v>
      </c>
      <c r="BM115" s="6">
        <v>0</v>
      </c>
      <c r="BN115" s="6">
        <v>1</v>
      </c>
      <c r="BO115" s="6">
        <v>0</v>
      </c>
      <c r="BP115" s="6">
        <v>0</v>
      </c>
      <c r="BQ115" s="6">
        <v>0</v>
      </c>
      <c r="BR115" s="6">
        <v>0</v>
      </c>
    </row>
    <row r="116" spans="1:70" ht="52.8" customHeight="1" x14ac:dyDescent="0.3">
      <c r="A116" s="6">
        <v>653269</v>
      </c>
      <c r="B116" s="6" t="s">
        <v>13</v>
      </c>
      <c r="C116" s="15" t="s">
        <v>904</v>
      </c>
      <c r="D116" s="6" t="s">
        <v>64</v>
      </c>
      <c r="E116" s="6" t="s">
        <v>15</v>
      </c>
      <c r="F116" s="7">
        <v>42046</v>
      </c>
      <c r="G116" s="7">
        <v>42913</v>
      </c>
      <c r="H116" s="8" t="s">
        <v>94</v>
      </c>
      <c r="I116" s="3" t="s">
        <v>48</v>
      </c>
      <c r="J116" s="3" t="s">
        <v>18</v>
      </c>
      <c r="K116" t="s">
        <v>19</v>
      </c>
      <c r="L116" s="6" t="s">
        <v>695</v>
      </c>
      <c r="M116" s="14" t="s">
        <v>626</v>
      </c>
      <c r="N116" s="6" t="s">
        <v>657</v>
      </c>
      <c r="O116" s="6">
        <v>0</v>
      </c>
      <c r="P116" s="6" t="s">
        <v>882</v>
      </c>
      <c r="Q116" s="35">
        <v>0</v>
      </c>
      <c r="R116" s="35">
        <v>1</v>
      </c>
      <c r="S116" s="35">
        <v>0</v>
      </c>
      <c r="T116" s="35">
        <v>1</v>
      </c>
      <c r="U116" s="35">
        <v>0</v>
      </c>
      <c r="V116" s="35">
        <v>0</v>
      </c>
      <c r="W116" s="35">
        <v>0</v>
      </c>
      <c r="X116" s="6" t="s">
        <v>801</v>
      </c>
      <c r="Y116" s="6">
        <v>1</v>
      </c>
      <c r="Z116" s="6">
        <v>0</v>
      </c>
      <c r="AA116" s="6">
        <v>0</v>
      </c>
      <c r="AB116" s="6">
        <v>1</v>
      </c>
      <c r="AC116" s="6">
        <v>0</v>
      </c>
      <c r="AD116" s="14" t="s">
        <v>43</v>
      </c>
      <c r="AE116" s="13" t="s">
        <v>278</v>
      </c>
      <c r="AF116" s="13" t="s">
        <v>66</v>
      </c>
      <c r="AG116" s="8" t="s">
        <v>1357</v>
      </c>
      <c r="AH116" s="11">
        <v>40963</v>
      </c>
      <c r="AI116" s="10">
        <v>622</v>
      </c>
      <c r="AJ116" s="12">
        <v>0</v>
      </c>
      <c r="AK116" s="12">
        <f t="shared" si="9"/>
        <v>0</v>
      </c>
      <c r="AL116" s="12" t="str">
        <f t="shared" si="8"/>
        <v>Não Informado</v>
      </c>
      <c r="AM116" s="6" t="s">
        <v>906</v>
      </c>
      <c r="AN116" s="6" t="s">
        <v>1452</v>
      </c>
      <c r="AO116" s="6" t="s">
        <v>701</v>
      </c>
      <c r="AP116" s="6">
        <v>1</v>
      </c>
      <c r="AQ116" s="6" t="s">
        <v>682</v>
      </c>
      <c r="AR116" s="6" t="s">
        <v>1400</v>
      </c>
      <c r="AS116" s="6">
        <v>1</v>
      </c>
      <c r="AT116" s="6">
        <v>0</v>
      </c>
      <c r="AU116" s="6">
        <v>0</v>
      </c>
      <c r="AV116" s="6">
        <v>0</v>
      </c>
      <c r="AW116" s="6" t="s">
        <v>905</v>
      </c>
      <c r="AX116" s="31">
        <v>2</v>
      </c>
      <c r="AY116" s="31">
        <v>3</v>
      </c>
      <c r="AZ116" s="31">
        <v>0</v>
      </c>
      <c r="BA116" s="12">
        <f t="shared" si="6"/>
        <v>27.333333333333332</v>
      </c>
      <c r="BB116" s="31">
        <v>12</v>
      </c>
      <c r="BC116" s="31">
        <v>0</v>
      </c>
      <c r="BD116" s="31">
        <v>0</v>
      </c>
      <c r="BE116" s="31">
        <v>0</v>
      </c>
      <c r="BF116" s="12">
        <f t="shared" si="7"/>
        <v>0</v>
      </c>
      <c r="BG116" s="6" t="s">
        <v>615</v>
      </c>
      <c r="BH116" s="6" t="s">
        <v>1393</v>
      </c>
      <c r="BI116" s="6">
        <v>0</v>
      </c>
      <c r="BJ116" s="6" t="s">
        <v>609</v>
      </c>
      <c r="BK116" s="6">
        <v>1</v>
      </c>
      <c r="BL116" s="6">
        <v>1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</row>
    <row r="117" spans="1:70" ht="52.8" customHeight="1" x14ac:dyDescent="0.3">
      <c r="A117" s="6">
        <v>311145</v>
      </c>
      <c r="B117" s="6" t="s">
        <v>24</v>
      </c>
      <c r="C117" s="15" t="s">
        <v>279</v>
      </c>
      <c r="D117" s="6" t="s">
        <v>106</v>
      </c>
      <c r="E117" s="6" t="s">
        <v>15</v>
      </c>
      <c r="F117" s="7">
        <v>41975</v>
      </c>
      <c r="G117" s="7">
        <v>42089</v>
      </c>
      <c r="H117" s="8" t="s">
        <v>111</v>
      </c>
      <c r="I117" s="3" t="s">
        <v>17</v>
      </c>
      <c r="J117" s="3" t="s">
        <v>18</v>
      </c>
      <c r="K117" t="s">
        <v>19</v>
      </c>
      <c r="L117" s="6" t="s">
        <v>696</v>
      </c>
      <c r="M117" s="14" t="s">
        <v>724</v>
      </c>
      <c r="N117" s="6" t="s">
        <v>657</v>
      </c>
      <c r="O117" s="6">
        <v>0</v>
      </c>
      <c r="P117" s="6" t="s">
        <v>763</v>
      </c>
      <c r="Q117" s="35">
        <v>0</v>
      </c>
      <c r="R117" s="35">
        <v>0</v>
      </c>
      <c r="S117" s="35">
        <v>1</v>
      </c>
      <c r="T117" s="35">
        <v>0</v>
      </c>
      <c r="U117" s="35">
        <v>0</v>
      </c>
      <c r="V117" s="35">
        <v>0</v>
      </c>
      <c r="W117" s="35">
        <v>0</v>
      </c>
      <c r="X117" s="6" t="s">
        <v>801</v>
      </c>
      <c r="Y117" s="6">
        <v>1</v>
      </c>
      <c r="Z117" s="6">
        <v>0</v>
      </c>
      <c r="AA117" s="6">
        <v>0</v>
      </c>
      <c r="AB117" s="6">
        <v>1</v>
      </c>
      <c r="AC117" s="6">
        <v>0</v>
      </c>
      <c r="AD117" s="14" t="s">
        <v>21</v>
      </c>
      <c r="AE117" s="13" t="s">
        <v>280</v>
      </c>
      <c r="AF117" s="13" t="s">
        <v>108</v>
      </c>
      <c r="AG117" s="8" t="s">
        <v>1357</v>
      </c>
      <c r="AH117" s="11">
        <v>41629</v>
      </c>
      <c r="AI117" s="10">
        <v>678</v>
      </c>
      <c r="AJ117" s="12">
        <v>250</v>
      </c>
      <c r="AK117" s="12">
        <f t="shared" si="9"/>
        <v>36.873156342182888</v>
      </c>
      <c r="AL117" s="12" t="str">
        <f t="shared" si="8"/>
        <v>25% a 50%</v>
      </c>
      <c r="AM117" s="6" t="s">
        <v>618</v>
      </c>
      <c r="AN117" s="6" t="s">
        <v>618</v>
      </c>
      <c r="AO117" s="6" t="s">
        <v>699</v>
      </c>
      <c r="AP117" s="6">
        <v>0</v>
      </c>
      <c r="AQ117" s="6" t="s">
        <v>613</v>
      </c>
      <c r="AR117" s="6" t="s">
        <v>1399</v>
      </c>
      <c r="AS117" s="6">
        <v>1</v>
      </c>
      <c r="AT117" s="6">
        <v>0</v>
      </c>
      <c r="AU117" s="6">
        <v>0</v>
      </c>
      <c r="AV117" s="6">
        <v>0</v>
      </c>
      <c r="AW117" s="6" t="s">
        <v>907</v>
      </c>
      <c r="AX117" s="31">
        <v>1</v>
      </c>
      <c r="AY117" s="31">
        <v>3</v>
      </c>
      <c r="AZ117" s="31">
        <v>0</v>
      </c>
      <c r="BA117" s="12">
        <f t="shared" si="6"/>
        <v>15.166666666666666</v>
      </c>
      <c r="BB117" s="31">
        <v>20</v>
      </c>
      <c r="BC117" s="31">
        <v>0</v>
      </c>
      <c r="BD117" s="31">
        <v>0</v>
      </c>
      <c r="BE117" s="31">
        <v>0</v>
      </c>
      <c r="BF117" s="12">
        <f t="shared" si="7"/>
        <v>0</v>
      </c>
      <c r="BG117" s="6" t="s">
        <v>615</v>
      </c>
      <c r="BH117" s="6" t="s">
        <v>1393</v>
      </c>
      <c r="BI117" s="6">
        <v>0</v>
      </c>
      <c r="BJ117" s="6" t="s">
        <v>609</v>
      </c>
      <c r="BK117" s="6">
        <v>0</v>
      </c>
      <c r="BL117" s="6">
        <v>1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</row>
    <row r="118" spans="1:70" ht="52.8" customHeight="1" x14ac:dyDescent="0.3">
      <c r="A118" s="6">
        <v>608994</v>
      </c>
      <c r="B118" s="6" t="s">
        <v>46</v>
      </c>
      <c r="C118" s="15" t="s">
        <v>281</v>
      </c>
      <c r="D118" s="6" t="s">
        <v>64</v>
      </c>
      <c r="E118" s="6" t="s">
        <v>15</v>
      </c>
      <c r="F118" s="7">
        <v>41949</v>
      </c>
      <c r="G118" s="7">
        <v>42226</v>
      </c>
      <c r="H118" s="8" t="s">
        <v>118</v>
      </c>
      <c r="I118" s="3" t="s">
        <v>48</v>
      </c>
      <c r="J118" s="3" t="s">
        <v>18</v>
      </c>
      <c r="K118" t="s">
        <v>19</v>
      </c>
      <c r="L118" s="6" t="s">
        <v>696</v>
      </c>
      <c r="M118" s="14" t="s">
        <v>908</v>
      </c>
      <c r="N118" s="6" t="s">
        <v>657</v>
      </c>
      <c r="O118" s="6">
        <v>0</v>
      </c>
      <c r="P118" s="6" t="s">
        <v>713</v>
      </c>
      <c r="Q118" s="35">
        <v>1</v>
      </c>
      <c r="R118" s="35">
        <v>0</v>
      </c>
      <c r="S118" s="35">
        <v>0</v>
      </c>
      <c r="T118" s="35">
        <v>1</v>
      </c>
      <c r="U118" s="35">
        <v>0</v>
      </c>
      <c r="V118" s="35">
        <v>0</v>
      </c>
      <c r="W118" s="35">
        <v>0</v>
      </c>
      <c r="X118" s="6" t="s">
        <v>909</v>
      </c>
      <c r="Y118" s="6">
        <v>1</v>
      </c>
      <c r="Z118" s="6">
        <v>1</v>
      </c>
      <c r="AA118" s="6">
        <v>0</v>
      </c>
      <c r="AB118" s="6">
        <v>0</v>
      </c>
      <c r="AC118" s="6">
        <v>0</v>
      </c>
      <c r="AD118" s="14" t="s">
        <v>21</v>
      </c>
      <c r="AE118" s="13" t="s">
        <v>282</v>
      </c>
      <c r="AF118" s="13" t="s">
        <v>66</v>
      </c>
      <c r="AG118" s="8" t="s">
        <v>1357</v>
      </c>
      <c r="AH118" s="11">
        <v>40729</v>
      </c>
      <c r="AI118" s="10">
        <v>545</v>
      </c>
      <c r="AJ118" s="12">
        <v>250</v>
      </c>
      <c r="AK118" s="12">
        <f t="shared" si="9"/>
        <v>45.871559633027523</v>
      </c>
      <c r="AL118" s="12" t="str">
        <f t="shared" si="8"/>
        <v>25% a 50%</v>
      </c>
      <c r="AM118" s="6" t="s">
        <v>910</v>
      </c>
      <c r="AN118" s="6" t="s">
        <v>1452</v>
      </c>
      <c r="AO118" s="6" t="s">
        <v>699</v>
      </c>
      <c r="AP118" s="6">
        <v>0</v>
      </c>
      <c r="AQ118" s="6" t="s">
        <v>911</v>
      </c>
      <c r="AR118" s="6" t="s">
        <v>1400</v>
      </c>
      <c r="AS118" s="6">
        <v>1</v>
      </c>
      <c r="AT118" s="6">
        <v>0</v>
      </c>
      <c r="AU118" s="6">
        <v>0</v>
      </c>
      <c r="AV118" s="6">
        <v>0</v>
      </c>
      <c r="AW118" s="6" t="s">
        <v>652</v>
      </c>
      <c r="AX118" s="31">
        <v>2</v>
      </c>
      <c r="AY118" s="31">
        <v>0</v>
      </c>
      <c r="AZ118" s="31">
        <v>0</v>
      </c>
      <c r="BA118" s="12">
        <f t="shared" si="6"/>
        <v>24.333333333333332</v>
      </c>
      <c r="BB118" s="31">
        <v>10</v>
      </c>
      <c r="BC118" s="31">
        <v>0</v>
      </c>
      <c r="BD118" s="31">
        <v>0</v>
      </c>
      <c r="BE118" s="31">
        <v>0</v>
      </c>
      <c r="BF118" s="12">
        <f t="shared" si="7"/>
        <v>0</v>
      </c>
      <c r="BG118" s="6" t="s">
        <v>636</v>
      </c>
      <c r="BH118" s="6" t="s">
        <v>1394</v>
      </c>
      <c r="BI118" s="6">
        <v>1</v>
      </c>
      <c r="BJ118" s="6" t="s">
        <v>609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</row>
    <row r="119" spans="1:70" ht="52.8" customHeight="1" x14ac:dyDescent="0.3">
      <c r="A119" s="6">
        <v>680503</v>
      </c>
      <c r="B119" s="6" t="s">
        <v>46</v>
      </c>
      <c r="C119" s="15" t="s">
        <v>283</v>
      </c>
      <c r="D119" s="6" t="s">
        <v>33</v>
      </c>
      <c r="E119" s="6" t="s">
        <v>15</v>
      </c>
      <c r="F119" s="7">
        <v>42093</v>
      </c>
      <c r="G119" s="7">
        <v>42320</v>
      </c>
      <c r="H119" s="8" t="s">
        <v>94</v>
      </c>
      <c r="I119" s="3" t="s">
        <v>48</v>
      </c>
      <c r="J119" s="3" t="s">
        <v>18</v>
      </c>
      <c r="K119" t="s">
        <v>19</v>
      </c>
      <c r="L119" s="6" t="s">
        <v>695</v>
      </c>
      <c r="M119" s="14" t="s">
        <v>626</v>
      </c>
      <c r="N119" s="15" t="s">
        <v>657</v>
      </c>
      <c r="O119" s="15">
        <v>0</v>
      </c>
      <c r="P119" s="6" t="s">
        <v>914</v>
      </c>
      <c r="Q119" s="35">
        <v>0</v>
      </c>
      <c r="R119" s="35">
        <v>1</v>
      </c>
      <c r="S119" s="35">
        <v>0</v>
      </c>
      <c r="T119" s="35">
        <v>1</v>
      </c>
      <c r="U119" s="35">
        <v>0</v>
      </c>
      <c r="V119" s="35">
        <v>0</v>
      </c>
      <c r="W119" s="35">
        <v>0</v>
      </c>
      <c r="X119" s="6" t="s">
        <v>860</v>
      </c>
      <c r="Y119" s="6">
        <v>1</v>
      </c>
      <c r="Z119" s="6">
        <v>1</v>
      </c>
      <c r="AA119" s="6">
        <v>1</v>
      </c>
      <c r="AB119" s="6">
        <v>1</v>
      </c>
      <c r="AC119" s="6">
        <v>1</v>
      </c>
      <c r="AD119" s="14" t="s">
        <v>21</v>
      </c>
      <c r="AE119" s="13" t="s">
        <v>284</v>
      </c>
      <c r="AF119" s="13" t="s">
        <v>36</v>
      </c>
      <c r="AG119" s="8" t="s">
        <v>1357</v>
      </c>
      <c r="AH119" s="11">
        <v>41570</v>
      </c>
      <c r="AI119" s="10">
        <v>678</v>
      </c>
      <c r="AJ119" s="12">
        <v>87.15</v>
      </c>
      <c r="AK119" s="12">
        <f t="shared" si="9"/>
        <v>12.853982300884956</v>
      </c>
      <c r="AL119" s="12" t="str">
        <f t="shared" si="8"/>
        <v>10% a 25%</v>
      </c>
      <c r="AM119" s="6" t="s">
        <v>912</v>
      </c>
      <c r="AN119" s="6" t="s">
        <v>1454</v>
      </c>
      <c r="AO119" s="6" t="s">
        <v>701</v>
      </c>
      <c r="AP119" s="6">
        <v>1</v>
      </c>
      <c r="AQ119" s="6" t="s">
        <v>913</v>
      </c>
      <c r="AR119" s="6" t="s">
        <v>1400</v>
      </c>
      <c r="AS119" s="6">
        <v>0</v>
      </c>
      <c r="AT119" s="6">
        <v>0</v>
      </c>
      <c r="AU119" s="6">
        <v>0</v>
      </c>
      <c r="AV119" s="6">
        <v>0</v>
      </c>
      <c r="AW119" s="6" t="s">
        <v>915</v>
      </c>
      <c r="AX119" s="31">
        <v>1</v>
      </c>
      <c r="AY119" s="31">
        <v>6</v>
      </c>
      <c r="AZ119" s="31">
        <v>0</v>
      </c>
      <c r="BA119" s="12">
        <f t="shared" si="6"/>
        <v>18.166666666666668</v>
      </c>
      <c r="BB119" s="31">
        <v>24</v>
      </c>
      <c r="BC119" s="31">
        <v>0</v>
      </c>
      <c r="BD119" s="31">
        <v>0</v>
      </c>
      <c r="BE119" s="31">
        <v>0</v>
      </c>
      <c r="BF119" s="12">
        <f t="shared" si="7"/>
        <v>0</v>
      </c>
      <c r="BG119" s="6" t="s">
        <v>615</v>
      </c>
      <c r="BH119" s="6" t="s">
        <v>1393</v>
      </c>
      <c r="BI119" s="6">
        <v>0</v>
      </c>
      <c r="BJ119" s="6" t="s">
        <v>609</v>
      </c>
      <c r="BK119" s="6">
        <v>0</v>
      </c>
      <c r="BL119" s="6">
        <v>1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</row>
    <row r="120" spans="1:70" ht="52.8" customHeight="1" x14ac:dyDescent="0.3">
      <c r="A120" s="6">
        <v>611312</v>
      </c>
      <c r="B120" s="6" t="s">
        <v>46</v>
      </c>
      <c r="C120" s="15" t="s">
        <v>286</v>
      </c>
      <c r="D120" s="6" t="s">
        <v>64</v>
      </c>
      <c r="E120" s="6" t="s">
        <v>15</v>
      </c>
      <c r="F120" s="7">
        <v>41954</v>
      </c>
      <c r="G120" s="7">
        <v>41968</v>
      </c>
      <c r="H120" s="8" t="s">
        <v>71</v>
      </c>
      <c r="I120" s="3" t="s">
        <v>17</v>
      </c>
      <c r="J120" s="3" t="s">
        <v>18</v>
      </c>
      <c r="K120" t="s">
        <v>19</v>
      </c>
      <c r="L120" s="6" t="s">
        <v>695</v>
      </c>
      <c r="M120" s="14" t="s">
        <v>626</v>
      </c>
      <c r="N120" s="6" t="s">
        <v>657</v>
      </c>
      <c r="O120" s="6">
        <v>0</v>
      </c>
      <c r="P120" s="6" t="s">
        <v>707</v>
      </c>
      <c r="Q120" s="35">
        <v>0</v>
      </c>
      <c r="R120" s="35">
        <v>1</v>
      </c>
      <c r="S120" s="35">
        <v>0</v>
      </c>
      <c r="T120" s="35">
        <v>0</v>
      </c>
      <c r="U120" s="35">
        <v>0</v>
      </c>
      <c r="V120" s="35">
        <v>0</v>
      </c>
      <c r="W120" s="35">
        <v>0</v>
      </c>
      <c r="X120" s="6" t="s">
        <v>657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14" t="s">
        <v>21</v>
      </c>
      <c r="AE120" s="13" t="s">
        <v>287</v>
      </c>
      <c r="AF120" s="13" t="s">
        <v>66</v>
      </c>
      <c r="AG120" s="8" t="s">
        <v>1357</v>
      </c>
      <c r="AH120" s="11">
        <v>40014</v>
      </c>
      <c r="AI120" s="10">
        <v>465</v>
      </c>
      <c r="AJ120" s="12">
        <v>110</v>
      </c>
      <c r="AK120" s="12">
        <f>IFERROR((AJ120/AI120)*100,"")</f>
        <v>23.655913978494624</v>
      </c>
      <c r="AL120" s="12" t="str">
        <f t="shared" si="8"/>
        <v>10% a 25%</v>
      </c>
      <c r="AM120" s="6" t="s">
        <v>917</v>
      </c>
      <c r="AN120" s="6" t="s">
        <v>622</v>
      </c>
      <c r="AO120" s="6" t="s">
        <v>699</v>
      </c>
      <c r="AP120" s="6">
        <v>0</v>
      </c>
      <c r="AQ120" s="6" t="s">
        <v>613</v>
      </c>
      <c r="AR120" s="6" t="s">
        <v>1399</v>
      </c>
      <c r="AS120" s="6">
        <v>1</v>
      </c>
      <c r="AT120" s="6">
        <v>0</v>
      </c>
      <c r="AU120" s="6">
        <v>0</v>
      </c>
      <c r="AV120" s="6">
        <v>0</v>
      </c>
      <c r="AW120" s="6" t="s">
        <v>918</v>
      </c>
      <c r="AX120" s="31">
        <v>1</v>
      </c>
      <c r="AY120" s="31">
        <v>5</v>
      </c>
      <c r="AZ120" s="31">
        <v>5</v>
      </c>
      <c r="BA120" s="12">
        <f t="shared" si="6"/>
        <v>17.333333333333332</v>
      </c>
      <c r="BB120" s="31">
        <v>12</v>
      </c>
      <c r="BC120" s="31">
        <v>0</v>
      </c>
      <c r="BD120" s="31">
        <v>0</v>
      </c>
      <c r="BE120" s="31">
        <v>0</v>
      </c>
      <c r="BF120" s="12">
        <f t="shared" si="7"/>
        <v>0</v>
      </c>
      <c r="BG120" s="6" t="s">
        <v>615</v>
      </c>
      <c r="BH120" s="6" t="s">
        <v>1393</v>
      </c>
      <c r="BI120" s="6">
        <v>0</v>
      </c>
      <c r="BJ120" s="6" t="s">
        <v>609</v>
      </c>
      <c r="BK120" s="6">
        <v>1</v>
      </c>
      <c r="BL120" s="6">
        <v>1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</row>
    <row r="121" spans="1:70" ht="52.8" customHeight="1" x14ac:dyDescent="0.3">
      <c r="A121" s="6">
        <v>354227</v>
      </c>
      <c r="B121" s="6" t="s">
        <v>24</v>
      </c>
      <c r="C121" s="15" t="s">
        <v>288</v>
      </c>
      <c r="D121" s="6" t="s">
        <v>14</v>
      </c>
      <c r="E121" s="6" t="s">
        <v>15</v>
      </c>
      <c r="F121" s="7">
        <v>42468</v>
      </c>
      <c r="G121" s="7">
        <v>42471</v>
      </c>
      <c r="H121" s="8" t="s">
        <v>52</v>
      </c>
      <c r="I121" s="3" t="s">
        <v>48</v>
      </c>
      <c r="J121" s="3" t="s">
        <v>18</v>
      </c>
      <c r="K121" t="s">
        <v>19</v>
      </c>
      <c r="L121" s="6" t="s">
        <v>695</v>
      </c>
      <c r="M121" s="14" t="s">
        <v>919</v>
      </c>
      <c r="N121" s="6" t="s">
        <v>657</v>
      </c>
      <c r="O121" s="6">
        <v>0</v>
      </c>
      <c r="P121" s="6" t="s">
        <v>920</v>
      </c>
      <c r="Q121" s="35">
        <v>0</v>
      </c>
      <c r="R121" s="35">
        <v>1</v>
      </c>
      <c r="S121" s="35">
        <v>0</v>
      </c>
      <c r="T121" s="35">
        <v>1</v>
      </c>
      <c r="U121" s="35">
        <v>0</v>
      </c>
      <c r="V121" s="35">
        <v>0</v>
      </c>
      <c r="W121" s="35">
        <v>0</v>
      </c>
      <c r="X121" s="6" t="s">
        <v>860</v>
      </c>
      <c r="Y121" s="6">
        <v>1</v>
      </c>
      <c r="Z121" s="6">
        <v>1</v>
      </c>
      <c r="AA121" s="6">
        <v>1</v>
      </c>
      <c r="AB121" s="6">
        <v>1</v>
      </c>
      <c r="AC121" s="6">
        <v>1</v>
      </c>
      <c r="AD121" s="14" t="s">
        <v>21</v>
      </c>
      <c r="AE121" s="13" t="s">
        <v>99</v>
      </c>
      <c r="AF121" s="13" t="s">
        <v>100</v>
      </c>
      <c r="AG121" s="8" t="s">
        <v>1349</v>
      </c>
      <c r="AH121" s="11">
        <v>41951</v>
      </c>
      <c r="AI121" s="10">
        <v>724</v>
      </c>
      <c r="AJ121" s="12">
        <v>94.5</v>
      </c>
      <c r="AK121" s="12">
        <f t="shared" ref="AK121:AK184" si="10">IFERROR((AJ121/AI121)*100,"")</f>
        <v>13.052486187845306</v>
      </c>
      <c r="AL121" s="12" t="str">
        <f t="shared" si="8"/>
        <v>10% a 25%</v>
      </c>
      <c r="AM121" s="6" t="s">
        <v>921</v>
      </c>
      <c r="AN121" s="6" t="s">
        <v>1454</v>
      </c>
      <c r="AO121" s="6" t="s">
        <v>699</v>
      </c>
      <c r="AP121" s="6">
        <v>0</v>
      </c>
      <c r="AQ121" s="6" t="s">
        <v>916</v>
      </c>
      <c r="AR121" s="6" t="s">
        <v>1400</v>
      </c>
      <c r="AS121" s="6">
        <v>0</v>
      </c>
      <c r="AT121" s="6">
        <v>0</v>
      </c>
      <c r="AU121" s="6">
        <v>0</v>
      </c>
      <c r="AV121" s="6">
        <v>0</v>
      </c>
      <c r="AW121" s="6" t="s">
        <v>922</v>
      </c>
      <c r="AX121" s="31">
        <v>0</v>
      </c>
      <c r="AY121" s="31">
        <v>10</v>
      </c>
      <c r="AZ121" s="31">
        <v>19</v>
      </c>
      <c r="BA121" s="12">
        <f t="shared" si="6"/>
        <v>10.633333333333333</v>
      </c>
      <c r="BB121" s="31">
        <v>4</v>
      </c>
      <c r="BC121" s="31">
        <v>0</v>
      </c>
      <c r="BD121" s="31">
        <v>0</v>
      </c>
      <c r="BE121" s="31">
        <v>0</v>
      </c>
      <c r="BF121" s="12">
        <f t="shared" si="7"/>
        <v>0</v>
      </c>
      <c r="BG121" s="6" t="s">
        <v>615</v>
      </c>
      <c r="BH121" s="6" t="s">
        <v>1393</v>
      </c>
      <c r="BI121" s="6">
        <v>0</v>
      </c>
      <c r="BJ121" s="6" t="s">
        <v>609</v>
      </c>
      <c r="BK121" s="6">
        <v>1</v>
      </c>
      <c r="BL121" s="6">
        <v>1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</row>
    <row r="122" spans="1:70" ht="52.8" customHeight="1" x14ac:dyDescent="0.3">
      <c r="A122" s="6">
        <v>303807</v>
      </c>
      <c r="B122" s="6" t="s">
        <v>24</v>
      </c>
      <c r="C122" s="15" t="s">
        <v>289</v>
      </c>
      <c r="D122" s="6" t="s">
        <v>41</v>
      </c>
      <c r="E122" s="6" t="s">
        <v>15</v>
      </c>
      <c r="F122" s="7">
        <v>41891</v>
      </c>
      <c r="G122" s="7">
        <v>42495</v>
      </c>
      <c r="H122" s="8" t="s">
        <v>42</v>
      </c>
      <c r="I122" s="3" t="s">
        <v>17</v>
      </c>
      <c r="J122" s="3" t="s">
        <v>18</v>
      </c>
      <c r="K122" t="s">
        <v>19</v>
      </c>
      <c r="L122" s="6" t="s">
        <v>696</v>
      </c>
      <c r="M122" s="14" t="s">
        <v>35</v>
      </c>
      <c r="N122" s="6" t="s">
        <v>657</v>
      </c>
      <c r="O122" s="6">
        <v>0</v>
      </c>
      <c r="P122" s="6" t="s">
        <v>707</v>
      </c>
      <c r="Q122" s="35">
        <v>0</v>
      </c>
      <c r="R122" s="35">
        <v>1</v>
      </c>
      <c r="S122" s="35">
        <v>0</v>
      </c>
      <c r="T122" s="35">
        <v>0</v>
      </c>
      <c r="U122" s="35">
        <v>0</v>
      </c>
      <c r="V122" s="35">
        <v>0</v>
      </c>
      <c r="W122" s="35">
        <v>0</v>
      </c>
      <c r="X122" s="6" t="s">
        <v>923</v>
      </c>
      <c r="Y122" s="6">
        <v>1</v>
      </c>
      <c r="Z122" s="6">
        <v>1</v>
      </c>
      <c r="AA122" s="6">
        <v>1</v>
      </c>
      <c r="AB122" s="6">
        <v>0</v>
      </c>
      <c r="AC122" s="6">
        <v>0</v>
      </c>
      <c r="AD122" s="14" t="s">
        <v>43</v>
      </c>
      <c r="AE122" s="13" t="s">
        <v>290</v>
      </c>
      <c r="AF122" s="13" t="s">
        <v>45</v>
      </c>
      <c r="AG122" s="8" t="s">
        <v>1357</v>
      </c>
      <c r="AH122" s="11">
        <v>38905</v>
      </c>
      <c r="AI122" s="10">
        <v>350</v>
      </c>
      <c r="AJ122" s="12">
        <v>115.81</v>
      </c>
      <c r="AK122" s="12">
        <f t="shared" si="10"/>
        <v>33.088571428571427</v>
      </c>
      <c r="AL122" s="12" t="str">
        <f t="shared" si="8"/>
        <v>25% a 50%</v>
      </c>
      <c r="AM122" s="6" t="s">
        <v>925</v>
      </c>
      <c r="AN122" s="6" t="s">
        <v>1454</v>
      </c>
      <c r="AO122" s="6" t="s">
        <v>701</v>
      </c>
      <c r="AP122" s="6">
        <v>1</v>
      </c>
      <c r="AQ122" s="6" t="s">
        <v>613</v>
      </c>
      <c r="AR122" s="6" t="s">
        <v>1399</v>
      </c>
      <c r="AS122" s="6">
        <v>1</v>
      </c>
      <c r="AT122" s="6">
        <v>0</v>
      </c>
      <c r="AU122" s="6">
        <v>0</v>
      </c>
      <c r="AV122" s="6">
        <v>0</v>
      </c>
      <c r="AW122" s="6" t="s">
        <v>926</v>
      </c>
      <c r="AX122" s="31">
        <v>1</v>
      </c>
      <c r="AY122" s="31">
        <v>2</v>
      </c>
      <c r="AZ122" s="31">
        <v>0</v>
      </c>
      <c r="BA122" s="12">
        <f t="shared" si="6"/>
        <v>14.166666666666666</v>
      </c>
      <c r="BB122" s="31">
        <v>15</v>
      </c>
      <c r="BC122" s="31">
        <v>0</v>
      </c>
      <c r="BD122" s="31">
        <v>0</v>
      </c>
      <c r="BE122" s="31">
        <v>0</v>
      </c>
      <c r="BF122" s="12">
        <f t="shared" si="7"/>
        <v>0</v>
      </c>
      <c r="BG122" s="6" t="s">
        <v>615</v>
      </c>
      <c r="BH122" s="6" t="s">
        <v>1393</v>
      </c>
      <c r="BI122" s="6">
        <v>0</v>
      </c>
      <c r="BJ122" s="6" t="s">
        <v>609</v>
      </c>
      <c r="BK122" s="6">
        <v>0</v>
      </c>
      <c r="BL122" s="6">
        <v>1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</row>
    <row r="123" spans="1:70" ht="52.8" customHeight="1" x14ac:dyDescent="0.3">
      <c r="A123" s="6">
        <v>301240</v>
      </c>
      <c r="B123" s="6" t="s">
        <v>24</v>
      </c>
      <c r="C123" s="15" t="s">
        <v>291</v>
      </c>
      <c r="D123" s="6" t="s">
        <v>14</v>
      </c>
      <c r="E123" s="6" t="s">
        <v>15</v>
      </c>
      <c r="F123" s="7">
        <v>41863</v>
      </c>
      <c r="G123" s="7">
        <v>42222</v>
      </c>
      <c r="H123" s="8" t="s">
        <v>157</v>
      </c>
      <c r="I123" s="3" t="s">
        <v>17</v>
      </c>
      <c r="J123" s="3" t="s">
        <v>18</v>
      </c>
      <c r="K123" t="s">
        <v>19</v>
      </c>
      <c r="L123" s="6" t="s">
        <v>696</v>
      </c>
      <c r="M123" s="14" t="s">
        <v>35</v>
      </c>
      <c r="N123" s="6" t="s">
        <v>657</v>
      </c>
      <c r="O123" s="6">
        <v>0</v>
      </c>
      <c r="P123" s="6" t="s">
        <v>927</v>
      </c>
      <c r="Q123" s="35">
        <v>0</v>
      </c>
      <c r="R123" s="35">
        <v>1</v>
      </c>
      <c r="S123" s="35">
        <v>1</v>
      </c>
      <c r="T123" s="35">
        <v>0</v>
      </c>
      <c r="U123" s="35">
        <v>0</v>
      </c>
      <c r="V123" s="35">
        <v>0</v>
      </c>
      <c r="W123" s="35">
        <v>0</v>
      </c>
      <c r="X123" s="6" t="s">
        <v>657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14" t="s">
        <v>43</v>
      </c>
      <c r="AE123" s="13" t="s">
        <v>292</v>
      </c>
      <c r="AF123" s="13" t="s">
        <v>23</v>
      </c>
      <c r="AG123" s="8" t="s">
        <v>1357</v>
      </c>
      <c r="AH123" s="11">
        <v>40698</v>
      </c>
      <c r="AI123" s="10">
        <v>545</v>
      </c>
      <c r="AJ123" s="12">
        <v>47.53</v>
      </c>
      <c r="AK123" s="12">
        <f t="shared" si="10"/>
        <v>8.721100917431194</v>
      </c>
      <c r="AL123" s="12" t="str">
        <f t="shared" si="8"/>
        <v>Até 10%</v>
      </c>
      <c r="AM123" s="6" t="s">
        <v>737</v>
      </c>
      <c r="AN123" s="6" t="s">
        <v>1454</v>
      </c>
      <c r="AO123" s="6" t="s">
        <v>699</v>
      </c>
      <c r="AP123" s="6">
        <v>0</v>
      </c>
      <c r="AQ123" s="6" t="s">
        <v>613</v>
      </c>
      <c r="AR123" s="6" t="s">
        <v>1399</v>
      </c>
      <c r="AS123" s="6">
        <v>1</v>
      </c>
      <c r="AT123" s="6">
        <v>0</v>
      </c>
      <c r="AU123" s="6">
        <v>0</v>
      </c>
      <c r="AV123" s="6">
        <v>0</v>
      </c>
      <c r="AW123" s="6" t="s">
        <v>686</v>
      </c>
      <c r="AX123" s="31">
        <v>1</v>
      </c>
      <c r="AY123" s="31">
        <v>0</v>
      </c>
      <c r="AZ123" s="31">
        <v>0</v>
      </c>
      <c r="BA123" s="12">
        <f t="shared" si="6"/>
        <v>12.166666666666666</v>
      </c>
      <c r="BB123" s="31">
        <v>10</v>
      </c>
      <c r="BC123" s="31">
        <v>0</v>
      </c>
      <c r="BD123" s="31">
        <v>0</v>
      </c>
      <c r="BE123" s="31">
        <v>0</v>
      </c>
      <c r="BF123" s="12">
        <f t="shared" si="7"/>
        <v>0</v>
      </c>
      <c r="BG123" s="6" t="s">
        <v>636</v>
      </c>
      <c r="BH123" s="6" t="s">
        <v>1394</v>
      </c>
      <c r="BI123" s="6">
        <v>1</v>
      </c>
      <c r="BJ123" s="6" t="s">
        <v>609</v>
      </c>
      <c r="BK123" s="6">
        <v>0</v>
      </c>
      <c r="BL123" s="6">
        <v>0</v>
      </c>
      <c r="BM123" s="6">
        <v>0</v>
      </c>
      <c r="BN123" s="6">
        <v>1</v>
      </c>
      <c r="BO123" s="6">
        <v>0</v>
      </c>
      <c r="BP123" s="6">
        <v>0</v>
      </c>
      <c r="BQ123" s="6">
        <v>0</v>
      </c>
      <c r="BR123" s="6">
        <v>0</v>
      </c>
    </row>
    <row r="124" spans="1:70" ht="52.8" customHeight="1" x14ac:dyDescent="0.3">
      <c r="A124" s="6">
        <v>698978</v>
      </c>
      <c r="B124" s="6" t="s">
        <v>46</v>
      </c>
      <c r="C124" s="15" t="s">
        <v>293</v>
      </c>
      <c r="D124" s="6" t="s">
        <v>14</v>
      </c>
      <c r="E124" s="6" t="s">
        <v>15</v>
      </c>
      <c r="F124" s="7">
        <v>42133</v>
      </c>
      <c r="G124" s="7">
        <v>42156</v>
      </c>
      <c r="H124" s="8" t="s">
        <v>16</v>
      </c>
      <c r="I124" s="3" t="s">
        <v>17</v>
      </c>
      <c r="J124" s="3" t="s">
        <v>18</v>
      </c>
      <c r="K124" t="s">
        <v>19</v>
      </c>
      <c r="L124" s="6" t="s">
        <v>695</v>
      </c>
      <c r="M124" s="14" t="s">
        <v>724</v>
      </c>
      <c r="N124" s="6" t="s">
        <v>657</v>
      </c>
      <c r="O124" s="6">
        <v>0</v>
      </c>
      <c r="P124" s="6" t="s">
        <v>931</v>
      </c>
      <c r="Q124" s="35">
        <v>0</v>
      </c>
      <c r="R124" s="35">
        <v>0</v>
      </c>
      <c r="S124" s="35">
        <v>1</v>
      </c>
      <c r="T124" s="35">
        <v>0</v>
      </c>
      <c r="U124" s="35">
        <v>0</v>
      </c>
      <c r="V124" s="35">
        <v>0</v>
      </c>
      <c r="W124" s="35">
        <v>0</v>
      </c>
      <c r="X124" s="6" t="s">
        <v>928</v>
      </c>
      <c r="Y124" s="6">
        <v>1</v>
      </c>
      <c r="Z124" s="6">
        <v>0</v>
      </c>
      <c r="AA124" s="6">
        <v>1</v>
      </c>
      <c r="AB124" s="6">
        <v>0</v>
      </c>
      <c r="AC124" s="6">
        <v>0</v>
      </c>
      <c r="AD124" s="14" t="s">
        <v>21</v>
      </c>
      <c r="AE124" s="13" t="s">
        <v>294</v>
      </c>
      <c r="AF124" s="13" t="s">
        <v>23</v>
      </c>
      <c r="AG124" s="8" t="s">
        <v>1357</v>
      </c>
      <c r="AH124" s="11">
        <v>40567</v>
      </c>
      <c r="AI124" s="10">
        <v>545</v>
      </c>
      <c r="AJ124" s="12">
        <v>100</v>
      </c>
      <c r="AK124" s="12">
        <f t="shared" si="10"/>
        <v>18.348623853211009</v>
      </c>
      <c r="AL124" s="12" t="str">
        <f t="shared" si="8"/>
        <v>10% a 25%</v>
      </c>
      <c r="AM124" s="6" t="s">
        <v>618</v>
      </c>
      <c r="AN124" s="6" t="s">
        <v>618</v>
      </c>
      <c r="AO124" s="6" t="s">
        <v>699</v>
      </c>
      <c r="AP124" s="6">
        <v>0</v>
      </c>
      <c r="AQ124" s="6" t="s">
        <v>613</v>
      </c>
      <c r="AR124" s="6" t="s">
        <v>1399</v>
      </c>
      <c r="AS124" s="6">
        <v>1</v>
      </c>
      <c r="AT124" s="6">
        <v>0</v>
      </c>
      <c r="AU124" s="6">
        <v>0</v>
      </c>
      <c r="AV124" s="6">
        <v>0</v>
      </c>
      <c r="AW124" s="6" t="s">
        <v>725</v>
      </c>
      <c r="AX124" s="31">
        <v>1</v>
      </c>
      <c r="AY124" s="31">
        <v>2</v>
      </c>
      <c r="AZ124" s="31">
        <v>0</v>
      </c>
      <c r="BA124" s="12">
        <f t="shared" si="6"/>
        <v>14.166666666666666</v>
      </c>
      <c r="BB124" s="31">
        <v>11</v>
      </c>
      <c r="BC124" s="31">
        <v>0</v>
      </c>
      <c r="BD124" s="31">
        <v>0</v>
      </c>
      <c r="BE124" s="31">
        <v>0</v>
      </c>
      <c r="BF124" s="12">
        <f t="shared" si="7"/>
        <v>0</v>
      </c>
      <c r="BG124" s="6" t="s">
        <v>611</v>
      </c>
      <c r="BH124" s="6" t="s">
        <v>1392</v>
      </c>
      <c r="BI124" s="6">
        <v>0</v>
      </c>
      <c r="BJ124" s="6" t="s">
        <v>609</v>
      </c>
      <c r="BK124" s="6">
        <v>0</v>
      </c>
      <c r="BL124" s="6">
        <v>1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</row>
    <row r="125" spans="1:70" ht="52.8" customHeight="1" x14ac:dyDescent="0.3">
      <c r="A125" s="6">
        <v>318935</v>
      </c>
      <c r="B125" s="6" t="s">
        <v>24</v>
      </c>
      <c r="C125" s="15" t="s">
        <v>295</v>
      </c>
      <c r="D125" s="6" t="s">
        <v>14</v>
      </c>
      <c r="E125" s="6" t="s">
        <v>15</v>
      </c>
      <c r="F125" s="7">
        <v>42081</v>
      </c>
      <c r="G125" s="7">
        <v>42131</v>
      </c>
      <c r="H125" s="8" t="s">
        <v>59</v>
      </c>
      <c r="I125" s="3" t="s">
        <v>17</v>
      </c>
      <c r="J125" s="3" t="s">
        <v>18</v>
      </c>
      <c r="K125" t="s">
        <v>19</v>
      </c>
      <c r="L125" s="6" t="s">
        <v>696</v>
      </c>
      <c r="M125" s="14" t="s">
        <v>930</v>
      </c>
      <c r="N125" s="6" t="s">
        <v>703</v>
      </c>
      <c r="O125" s="6">
        <v>1</v>
      </c>
      <c r="P125" s="6" t="s">
        <v>781</v>
      </c>
      <c r="Q125" s="35">
        <v>1</v>
      </c>
      <c r="R125" s="35">
        <v>0</v>
      </c>
      <c r="S125" s="35">
        <v>0</v>
      </c>
      <c r="T125" s="35">
        <v>0</v>
      </c>
      <c r="U125" s="35">
        <v>1</v>
      </c>
      <c r="V125" s="35">
        <v>0</v>
      </c>
      <c r="W125" s="35">
        <v>0</v>
      </c>
      <c r="X125" s="6" t="s">
        <v>657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14" t="s">
        <v>43</v>
      </c>
      <c r="AE125" s="13" t="s">
        <v>296</v>
      </c>
      <c r="AF125" s="13" t="s">
        <v>297</v>
      </c>
      <c r="AG125" s="8" t="s">
        <v>1349</v>
      </c>
      <c r="AH125" s="11">
        <v>41880</v>
      </c>
      <c r="AI125" s="10">
        <v>724</v>
      </c>
      <c r="AJ125" s="12">
        <v>32.9</v>
      </c>
      <c r="AK125" s="12">
        <f t="shared" si="10"/>
        <v>4.5441988950276242</v>
      </c>
      <c r="AL125" s="12" t="str">
        <f t="shared" si="8"/>
        <v>Até 10%</v>
      </c>
      <c r="AM125" s="6" t="s">
        <v>929</v>
      </c>
      <c r="AN125" s="6" t="s">
        <v>1454</v>
      </c>
      <c r="AO125" s="6" t="s">
        <v>699</v>
      </c>
      <c r="AP125" s="6">
        <v>0</v>
      </c>
      <c r="AQ125" s="6" t="s">
        <v>658</v>
      </c>
      <c r="AR125" s="6" t="s">
        <v>1399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31">
        <v>0</v>
      </c>
      <c r="AY125" s="31">
        <v>0</v>
      </c>
      <c r="AZ125" s="31">
        <v>0</v>
      </c>
      <c r="BA125" s="12">
        <f t="shared" si="6"/>
        <v>0</v>
      </c>
      <c r="BB125" s="31">
        <v>0</v>
      </c>
      <c r="BC125" s="31">
        <v>0</v>
      </c>
      <c r="BD125" s="31">
        <v>0</v>
      </c>
      <c r="BE125" s="31">
        <v>0</v>
      </c>
      <c r="BF125" s="12">
        <f t="shared" si="7"/>
        <v>0</v>
      </c>
      <c r="BG125" s="6">
        <v>0</v>
      </c>
      <c r="BH125" s="6">
        <v>0</v>
      </c>
      <c r="BI125" s="6">
        <v>0</v>
      </c>
      <c r="BJ125" s="6" t="s">
        <v>620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</row>
    <row r="126" spans="1:70" ht="52.8" customHeight="1" x14ac:dyDescent="0.3">
      <c r="A126" s="6">
        <v>307443</v>
      </c>
      <c r="B126" s="6" t="s">
        <v>24</v>
      </c>
      <c r="C126" s="27" t="s">
        <v>1336</v>
      </c>
      <c r="D126" s="6" t="s">
        <v>28</v>
      </c>
      <c r="E126" s="6" t="s">
        <v>15</v>
      </c>
      <c r="F126" s="7" t="s">
        <v>1337</v>
      </c>
      <c r="G126" s="7">
        <v>42122</v>
      </c>
      <c r="H126" s="8" t="s">
        <v>118</v>
      </c>
      <c r="I126" s="3" t="s">
        <v>17</v>
      </c>
      <c r="J126" s="3" t="s">
        <v>18</v>
      </c>
      <c r="K126" t="s">
        <v>19</v>
      </c>
      <c r="L126" s="6" t="s">
        <v>696</v>
      </c>
      <c r="M126" s="14" t="s">
        <v>1009</v>
      </c>
      <c r="N126" s="6" t="s">
        <v>657</v>
      </c>
      <c r="O126" s="6">
        <v>0</v>
      </c>
      <c r="P126" s="6" t="s">
        <v>1338</v>
      </c>
      <c r="Q126" s="35">
        <v>0</v>
      </c>
      <c r="R126" s="35">
        <v>0</v>
      </c>
      <c r="S126" s="35">
        <v>1</v>
      </c>
      <c r="T126" s="35">
        <v>1</v>
      </c>
      <c r="U126" s="35">
        <v>0</v>
      </c>
      <c r="V126" s="35">
        <v>0</v>
      </c>
      <c r="W126" s="35">
        <v>0</v>
      </c>
      <c r="X126" s="6" t="s">
        <v>657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14" t="s">
        <v>43</v>
      </c>
      <c r="AE126" s="13" t="s">
        <v>298</v>
      </c>
      <c r="AF126" s="13" t="s">
        <v>32</v>
      </c>
      <c r="AG126" s="8" t="s">
        <v>1357</v>
      </c>
      <c r="AH126" s="11">
        <v>41839</v>
      </c>
      <c r="AI126" s="10">
        <v>724</v>
      </c>
      <c r="AJ126" s="12">
        <v>66</v>
      </c>
      <c r="AK126" s="12">
        <f t="shared" si="10"/>
        <v>9.1160220994475143</v>
      </c>
      <c r="AL126" s="12" t="str">
        <f t="shared" si="8"/>
        <v>Até 10%</v>
      </c>
      <c r="AM126" s="6" t="s">
        <v>779</v>
      </c>
      <c r="AN126" s="6" t="s">
        <v>1453</v>
      </c>
      <c r="AO126" s="6" t="s">
        <v>699</v>
      </c>
      <c r="AP126" s="6">
        <v>0</v>
      </c>
      <c r="AQ126" s="6" t="s">
        <v>658</v>
      </c>
      <c r="AR126" s="6" t="s">
        <v>1399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31">
        <v>0</v>
      </c>
      <c r="AY126" s="31">
        <v>0</v>
      </c>
      <c r="AZ126" s="31">
        <v>0</v>
      </c>
      <c r="BA126" s="12">
        <f t="shared" si="6"/>
        <v>0</v>
      </c>
      <c r="BB126" s="31">
        <v>0</v>
      </c>
      <c r="BC126" s="31">
        <v>0</v>
      </c>
      <c r="BD126" s="31">
        <v>0</v>
      </c>
      <c r="BE126" s="31">
        <v>0</v>
      </c>
      <c r="BF126" s="12">
        <f t="shared" si="7"/>
        <v>0</v>
      </c>
      <c r="BG126" s="6">
        <v>0</v>
      </c>
      <c r="BH126" s="6">
        <v>0</v>
      </c>
      <c r="BI126" s="6">
        <v>0</v>
      </c>
      <c r="BJ126" s="23" t="s">
        <v>620</v>
      </c>
      <c r="BK126" s="23">
        <v>0</v>
      </c>
      <c r="BL126" s="23">
        <v>0</v>
      </c>
      <c r="BM126" s="23">
        <v>1</v>
      </c>
      <c r="BN126" s="23">
        <v>0</v>
      </c>
      <c r="BO126" s="6">
        <v>0</v>
      </c>
      <c r="BP126" s="6">
        <v>0</v>
      </c>
      <c r="BQ126" s="6">
        <v>0</v>
      </c>
      <c r="BR126" s="6">
        <v>0</v>
      </c>
    </row>
    <row r="127" spans="1:70" ht="52.8" customHeight="1" x14ac:dyDescent="0.3">
      <c r="A127" s="6">
        <v>698593</v>
      </c>
      <c r="B127" s="6" t="s">
        <v>46</v>
      </c>
      <c r="C127" s="15" t="s">
        <v>299</v>
      </c>
      <c r="D127" s="6" t="s">
        <v>41</v>
      </c>
      <c r="E127" s="6" t="s">
        <v>15</v>
      </c>
      <c r="F127" s="7">
        <v>42133</v>
      </c>
      <c r="G127" s="7">
        <v>42478</v>
      </c>
      <c r="H127" s="8" t="s">
        <v>42</v>
      </c>
      <c r="I127" s="3" t="s">
        <v>17</v>
      </c>
      <c r="J127" s="3" t="s">
        <v>18</v>
      </c>
      <c r="K127" t="s">
        <v>19</v>
      </c>
      <c r="L127" s="6" t="s">
        <v>696</v>
      </c>
      <c r="M127" s="14" t="s">
        <v>626</v>
      </c>
      <c r="N127" s="6" t="s">
        <v>657</v>
      </c>
      <c r="O127" s="6">
        <v>0</v>
      </c>
      <c r="P127" s="6" t="s">
        <v>707</v>
      </c>
      <c r="Q127" s="35">
        <v>0</v>
      </c>
      <c r="R127" s="35">
        <v>1</v>
      </c>
      <c r="S127" s="35">
        <v>0</v>
      </c>
      <c r="T127" s="35">
        <v>0</v>
      </c>
      <c r="U127" s="35">
        <v>0</v>
      </c>
      <c r="V127" s="35">
        <v>0</v>
      </c>
      <c r="W127" s="35">
        <v>0</v>
      </c>
      <c r="X127" s="6" t="s">
        <v>657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14" t="s">
        <v>21</v>
      </c>
      <c r="AE127" s="13" t="s">
        <v>300</v>
      </c>
      <c r="AF127" s="13" t="s">
        <v>45</v>
      </c>
      <c r="AG127" s="8" t="s">
        <v>1357</v>
      </c>
      <c r="AH127" s="11">
        <v>39564</v>
      </c>
      <c r="AI127" s="10">
        <v>415</v>
      </c>
      <c r="AJ127" s="12">
        <v>68.75</v>
      </c>
      <c r="AK127" s="12">
        <f t="shared" si="10"/>
        <v>16.566265060240966</v>
      </c>
      <c r="AL127" s="12" t="str">
        <f t="shared" si="8"/>
        <v>10% a 25%</v>
      </c>
      <c r="AM127" s="6" t="s">
        <v>737</v>
      </c>
      <c r="AN127" s="6" t="s">
        <v>1454</v>
      </c>
      <c r="AO127" s="6" t="s">
        <v>699</v>
      </c>
      <c r="AP127" s="6">
        <v>0</v>
      </c>
      <c r="AQ127" s="6" t="s">
        <v>613</v>
      </c>
      <c r="AR127" s="6" t="s">
        <v>1399</v>
      </c>
      <c r="AS127" s="6">
        <v>1</v>
      </c>
      <c r="AT127" s="6">
        <v>0</v>
      </c>
      <c r="AU127" s="6">
        <v>0</v>
      </c>
      <c r="AV127" s="6">
        <v>0</v>
      </c>
      <c r="AW127" s="6">
        <v>0</v>
      </c>
      <c r="AX127" s="31">
        <v>0</v>
      </c>
      <c r="AY127" s="31">
        <v>0</v>
      </c>
      <c r="AZ127" s="31">
        <v>0</v>
      </c>
      <c r="BA127" s="12">
        <f t="shared" si="6"/>
        <v>0</v>
      </c>
      <c r="BB127" s="31">
        <v>0</v>
      </c>
      <c r="BC127" s="31">
        <v>0</v>
      </c>
      <c r="BD127" s="31">
        <v>0</v>
      </c>
      <c r="BE127" s="31">
        <v>0</v>
      </c>
      <c r="BF127" s="12">
        <f t="shared" si="7"/>
        <v>0</v>
      </c>
      <c r="BG127" s="6">
        <v>0</v>
      </c>
      <c r="BH127" s="6">
        <v>0</v>
      </c>
      <c r="BI127" s="6">
        <v>0</v>
      </c>
      <c r="BJ127" s="6" t="s">
        <v>620</v>
      </c>
      <c r="BK127" s="6">
        <v>0</v>
      </c>
      <c r="BL127" s="6">
        <v>1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</row>
    <row r="128" spans="1:70" ht="52.8" customHeight="1" x14ac:dyDescent="0.3">
      <c r="A128" s="6">
        <v>884635</v>
      </c>
      <c r="B128" s="6" t="s">
        <v>46</v>
      </c>
      <c r="C128" s="15" t="s">
        <v>301</v>
      </c>
      <c r="D128" s="6" t="s">
        <v>64</v>
      </c>
      <c r="E128" s="6" t="s">
        <v>15</v>
      </c>
      <c r="F128" s="7">
        <v>42459</v>
      </c>
      <c r="G128" s="7">
        <v>42669</v>
      </c>
      <c r="H128" s="8" t="s">
        <v>34</v>
      </c>
      <c r="I128" s="3" t="s">
        <v>48</v>
      </c>
      <c r="J128" s="3" t="s">
        <v>18</v>
      </c>
      <c r="K128" t="s">
        <v>19</v>
      </c>
      <c r="L128" s="6" t="s">
        <v>696</v>
      </c>
      <c r="M128" s="14" t="s">
        <v>626</v>
      </c>
      <c r="N128" s="6" t="s">
        <v>657</v>
      </c>
      <c r="O128" s="6">
        <v>0</v>
      </c>
      <c r="P128" s="6" t="s">
        <v>763</v>
      </c>
      <c r="Q128" s="35">
        <v>0</v>
      </c>
      <c r="R128" s="35">
        <v>0</v>
      </c>
      <c r="S128" s="35">
        <v>1</v>
      </c>
      <c r="T128" s="35">
        <v>0</v>
      </c>
      <c r="U128" s="35">
        <v>0</v>
      </c>
      <c r="V128" s="35">
        <v>0</v>
      </c>
      <c r="W128" s="35">
        <v>0</v>
      </c>
      <c r="X128" s="6" t="s">
        <v>801</v>
      </c>
      <c r="Y128" s="6">
        <v>1</v>
      </c>
      <c r="Z128" s="6">
        <v>0</v>
      </c>
      <c r="AA128" s="6">
        <v>0</v>
      </c>
      <c r="AB128" s="6">
        <v>1</v>
      </c>
      <c r="AC128" s="6">
        <v>0</v>
      </c>
      <c r="AD128" s="14" t="s">
        <v>21</v>
      </c>
      <c r="AE128" s="13" t="s">
        <v>302</v>
      </c>
      <c r="AF128" s="13" t="s">
        <v>66</v>
      </c>
      <c r="AG128" s="8" t="s">
        <v>1357</v>
      </c>
      <c r="AH128" s="11">
        <v>40140</v>
      </c>
      <c r="AI128" s="10">
        <v>465</v>
      </c>
      <c r="AJ128" s="12">
        <v>75</v>
      </c>
      <c r="AK128" s="12">
        <f t="shared" si="10"/>
        <v>16.129032258064516</v>
      </c>
      <c r="AL128" s="12" t="str">
        <f t="shared" si="8"/>
        <v>10% a 25%</v>
      </c>
      <c r="AM128" s="6" t="s">
        <v>932</v>
      </c>
      <c r="AN128" s="6" t="s">
        <v>1454</v>
      </c>
      <c r="AO128" s="6" t="s">
        <v>701</v>
      </c>
      <c r="AP128" s="6">
        <v>1</v>
      </c>
      <c r="AQ128" s="6" t="s">
        <v>682</v>
      </c>
      <c r="AR128" s="6" t="s">
        <v>1400</v>
      </c>
      <c r="AS128" s="6">
        <v>1</v>
      </c>
      <c r="AT128" s="6">
        <v>0</v>
      </c>
      <c r="AU128" s="6">
        <v>0</v>
      </c>
      <c r="AV128" s="6">
        <v>0</v>
      </c>
      <c r="AW128" s="6">
        <v>0</v>
      </c>
      <c r="AX128" s="31">
        <v>0</v>
      </c>
      <c r="AY128" s="31">
        <v>0</v>
      </c>
      <c r="AZ128" s="31">
        <v>0</v>
      </c>
      <c r="BA128" s="12">
        <f t="shared" si="6"/>
        <v>0</v>
      </c>
      <c r="BB128" s="31">
        <v>0</v>
      </c>
      <c r="BC128" s="31">
        <v>0</v>
      </c>
      <c r="BD128" s="31">
        <v>0</v>
      </c>
      <c r="BE128" s="31">
        <v>0</v>
      </c>
      <c r="BF128" s="12">
        <f t="shared" si="7"/>
        <v>0</v>
      </c>
      <c r="BG128" s="6">
        <v>0</v>
      </c>
      <c r="BH128" s="6">
        <v>0</v>
      </c>
      <c r="BI128" s="6">
        <v>0</v>
      </c>
      <c r="BJ128" s="6" t="s">
        <v>620</v>
      </c>
      <c r="BK128" s="6">
        <v>0</v>
      </c>
      <c r="BL128" s="6">
        <v>0</v>
      </c>
      <c r="BM128" s="6">
        <v>0</v>
      </c>
      <c r="BN128" s="6">
        <v>1</v>
      </c>
      <c r="BO128" s="6">
        <v>0</v>
      </c>
      <c r="BP128" s="6">
        <v>0</v>
      </c>
      <c r="BQ128" s="6">
        <v>0</v>
      </c>
      <c r="BR128" s="6">
        <v>0</v>
      </c>
    </row>
    <row r="129" spans="1:70" ht="52.8" customHeight="1" x14ac:dyDescent="0.3">
      <c r="A129" s="6">
        <v>683228</v>
      </c>
      <c r="B129" s="6" t="s">
        <v>46</v>
      </c>
      <c r="C129" s="15" t="s">
        <v>303</v>
      </c>
      <c r="D129" s="6" t="s">
        <v>47</v>
      </c>
      <c r="E129" s="6" t="s">
        <v>15</v>
      </c>
      <c r="F129" s="7">
        <v>42103</v>
      </c>
      <c r="G129" s="7">
        <v>42117</v>
      </c>
      <c r="H129" s="8" t="s">
        <v>101</v>
      </c>
      <c r="I129" s="3" t="s">
        <v>48</v>
      </c>
      <c r="J129" s="3" t="s">
        <v>18</v>
      </c>
      <c r="K129" t="s">
        <v>19</v>
      </c>
      <c r="L129" s="6" t="s">
        <v>695</v>
      </c>
      <c r="M129" s="14" t="s">
        <v>626</v>
      </c>
      <c r="N129" s="6" t="s">
        <v>657</v>
      </c>
      <c r="O129" s="6">
        <v>0</v>
      </c>
      <c r="P129" s="6" t="s">
        <v>713</v>
      </c>
      <c r="Q129" s="35">
        <v>1</v>
      </c>
      <c r="R129" s="35">
        <v>0</v>
      </c>
      <c r="S129" s="35">
        <v>0</v>
      </c>
      <c r="T129" s="35">
        <v>1</v>
      </c>
      <c r="U129" s="35">
        <v>0</v>
      </c>
      <c r="V129" s="35">
        <v>0</v>
      </c>
      <c r="W129" s="35">
        <v>0</v>
      </c>
      <c r="X129" s="6" t="s">
        <v>657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14" t="s">
        <v>21</v>
      </c>
      <c r="AE129" s="13" t="s">
        <v>304</v>
      </c>
      <c r="AF129" s="13" t="s">
        <v>92</v>
      </c>
      <c r="AG129" s="8" t="s">
        <v>1357</v>
      </c>
      <c r="AH129" s="11">
        <v>41282</v>
      </c>
      <c r="AI129" s="10">
        <v>678</v>
      </c>
      <c r="AJ129" s="12">
        <v>520</v>
      </c>
      <c r="AK129" s="12">
        <f t="shared" si="10"/>
        <v>76.69616519174042</v>
      </c>
      <c r="AL129" s="12" t="str">
        <f t="shared" si="8"/>
        <v>Acima de 50%</v>
      </c>
      <c r="AM129" s="6" t="s">
        <v>933</v>
      </c>
      <c r="AN129" s="6" t="s">
        <v>1454</v>
      </c>
      <c r="AO129" s="6" t="s">
        <v>699</v>
      </c>
      <c r="AP129" s="6">
        <v>0</v>
      </c>
      <c r="AQ129" s="6" t="s">
        <v>625</v>
      </c>
      <c r="AR129" s="6" t="s">
        <v>1400</v>
      </c>
      <c r="AS129" s="6">
        <v>1</v>
      </c>
      <c r="AT129" s="6">
        <v>0</v>
      </c>
      <c r="AU129" s="6">
        <v>0</v>
      </c>
      <c r="AV129" s="6">
        <v>0</v>
      </c>
      <c r="AW129" s="6">
        <v>0</v>
      </c>
      <c r="AX129" s="31">
        <v>0</v>
      </c>
      <c r="AY129" s="31">
        <v>0</v>
      </c>
      <c r="AZ129" s="31">
        <v>0</v>
      </c>
      <c r="BA129" s="12">
        <f t="shared" si="6"/>
        <v>0</v>
      </c>
      <c r="BB129" s="31">
        <v>0</v>
      </c>
      <c r="BC129" s="31">
        <v>0</v>
      </c>
      <c r="BD129" s="31">
        <v>0</v>
      </c>
      <c r="BE129" s="31">
        <v>0</v>
      </c>
      <c r="BF129" s="12">
        <f t="shared" si="7"/>
        <v>0</v>
      </c>
      <c r="BG129" s="6">
        <v>0</v>
      </c>
      <c r="BH129" s="6">
        <v>0</v>
      </c>
      <c r="BI129" s="6">
        <v>0</v>
      </c>
      <c r="BJ129" s="6" t="s">
        <v>620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</row>
    <row r="130" spans="1:70" ht="52.8" customHeight="1" x14ac:dyDescent="0.3">
      <c r="A130" s="6">
        <v>349653</v>
      </c>
      <c r="B130" s="6" t="s">
        <v>13</v>
      </c>
      <c r="C130" s="15" t="s">
        <v>934</v>
      </c>
      <c r="D130" s="6" t="s">
        <v>148</v>
      </c>
      <c r="E130" s="6" t="s">
        <v>15</v>
      </c>
      <c r="F130" s="7">
        <v>42419</v>
      </c>
      <c r="G130" s="7">
        <v>42507</v>
      </c>
      <c r="H130" s="8" t="s">
        <v>52</v>
      </c>
      <c r="I130" s="3" t="s">
        <v>48</v>
      </c>
      <c r="J130" s="3" t="s">
        <v>18</v>
      </c>
      <c r="K130" t="s">
        <v>19</v>
      </c>
      <c r="L130" s="6" t="s">
        <v>695</v>
      </c>
      <c r="M130" s="14" t="s">
        <v>626</v>
      </c>
      <c r="N130" s="15" t="s">
        <v>657</v>
      </c>
      <c r="O130" s="15">
        <v>0</v>
      </c>
      <c r="P130" s="6" t="s">
        <v>935</v>
      </c>
      <c r="Q130" s="35">
        <v>0</v>
      </c>
      <c r="R130" s="35">
        <v>0</v>
      </c>
      <c r="S130" s="35">
        <v>0</v>
      </c>
      <c r="T130" s="35">
        <v>1</v>
      </c>
      <c r="U130" s="35">
        <v>0</v>
      </c>
      <c r="V130" s="35">
        <v>0</v>
      </c>
      <c r="W130" s="35">
        <v>0</v>
      </c>
      <c r="X130" s="6" t="s">
        <v>860</v>
      </c>
      <c r="Y130" s="6">
        <v>1</v>
      </c>
      <c r="Z130" s="6">
        <v>1</v>
      </c>
      <c r="AA130" s="6">
        <v>1</v>
      </c>
      <c r="AB130" s="6">
        <v>1</v>
      </c>
      <c r="AC130" s="6">
        <v>1</v>
      </c>
      <c r="AD130" s="14" t="s">
        <v>43</v>
      </c>
      <c r="AE130" s="13" t="s">
        <v>305</v>
      </c>
      <c r="AF130" s="13" t="s">
        <v>150</v>
      </c>
      <c r="AG130" s="8" t="s">
        <v>1357</v>
      </c>
      <c r="AH130" s="11">
        <v>40840</v>
      </c>
      <c r="AI130" s="10">
        <v>545</v>
      </c>
      <c r="AJ130" s="12">
        <v>60</v>
      </c>
      <c r="AK130" s="12">
        <f t="shared" si="10"/>
        <v>11.009174311926607</v>
      </c>
      <c r="AL130" s="12" t="str">
        <f t="shared" si="8"/>
        <v>10% a 25%</v>
      </c>
      <c r="AM130" s="6" t="s">
        <v>737</v>
      </c>
      <c r="AN130" s="6" t="s">
        <v>1454</v>
      </c>
      <c r="AO130" s="6" t="s">
        <v>699</v>
      </c>
      <c r="AP130" s="6">
        <v>0</v>
      </c>
      <c r="AQ130" s="6" t="s">
        <v>628</v>
      </c>
      <c r="AR130" s="6" t="s">
        <v>1400</v>
      </c>
      <c r="AS130" s="6">
        <v>1</v>
      </c>
      <c r="AT130" s="6">
        <v>0</v>
      </c>
      <c r="AU130" s="6">
        <v>0</v>
      </c>
      <c r="AV130" s="6">
        <v>0</v>
      </c>
      <c r="AW130" s="6" t="s">
        <v>652</v>
      </c>
      <c r="AX130" s="31">
        <v>2</v>
      </c>
      <c r="AY130" s="31">
        <v>0</v>
      </c>
      <c r="AZ130" s="31">
        <v>0</v>
      </c>
      <c r="BA130" s="12">
        <f t="shared" si="6"/>
        <v>24.333333333333332</v>
      </c>
      <c r="BB130" s="31">
        <v>10</v>
      </c>
      <c r="BC130" s="31">
        <v>0</v>
      </c>
      <c r="BD130" s="31">
        <v>0</v>
      </c>
      <c r="BE130" s="31">
        <v>0</v>
      </c>
      <c r="BF130" s="12">
        <f t="shared" si="7"/>
        <v>0</v>
      </c>
      <c r="BG130" s="6" t="s">
        <v>636</v>
      </c>
      <c r="BH130" s="6" t="s">
        <v>1394</v>
      </c>
      <c r="BI130" s="6">
        <v>1</v>
      </c>
      <c r="BJ130" s="6" t="s">
        <v>609</v>
      </c>
      <c r="BK130" s="6">
        <v>0</v>
      </c>
      <c r="BL130" s="6">
        <v>0</v>
      </c>
      <c r="BM130" s="6">
        <v>0</v>
      </c>
      <c r="BN130" s="6">
        <v>1</v>
      </c>
      <c r="BO130" s="6">
        <v>0</v>
      </c>
      <c r="BP130" s="6">
        <v>0</v>
      </c>
      <c r="BQ130" s="6">
        <v>0</v>
      </c>
      <c r="BR130" s="6">
        <v>0</v>
      </c>
    </row>
    <row r="131" spans="1:70" ht="52.8" customHeight="1" x14ac:dyDescent="0.3">
      <c r="A131" s="6">
        <v>51655</v>
      </c>
      <c r="B131" s="6" t="s">
        <v>207</v>
      </c>
      <c r="C131" s="25" t="s">
        <v>1308</v>
      </c>
      <c r="D131" s="6" t="s">
        <v>64</v>
      </c>
      <c r="E131" s="6" t="s">
        <v>15</v>
      </c>
      <c r="F131" s="7">
        <v>42543</v>
      </c>
      <c r="G131" s="7">
        <v>42598</v>
      </c>
      <c r="H131" s="8" t="s">
        <v>38</v>
      </c>
      <c r="I131" s="3" t="s">
        <v>48</v>
      </c>
      <c r="J131" s="3" t="s">
        <v>18</v>
      </c>
      <c r="K131" t="s">
        <v>19</v>
      </c>
      <c r="L131" s="6" t="s">
        <v>696</v>
      </c>
      <c r="M131" s="14" t="s">
        <v>1014</v>
      </c>
      <c r="N131" s="6" t="s">
        <v>703</v>
      </c>
      <c r="O131" s="6">
        <v>1</v>
      </c>
      <c r="P131" s="6" t="s">
        <v>735</v>
      </c>
      <c r="Q131" s="35">
        <v>1</v>
      </c>
      <c r="R131" s="35">
        <v>0</v>
      </c>
      <c r="S131" s="35">
        <v>0</v>
      </c>
      <c r="T131" s="35">
        <v>0</v>
      </c>
      <c r="U131" s="35">
        <v>0</v>
      </c>
      <c r="V131" s="35">
        <v>0</v>
      </c>
      <c r="W131" s="35">
        <v>0</v>
      </c>
      <c r="X131" s="6" t="s">
        <v>766</v>
      </c>
      <c r="Y131" s="6">
        <v>1</v>
      </c>
      <c r="Z131" s="6">
        <v>0</v>
      </c>
      <c r="AA131" s="6">
        <v>0</v>
      </c>
      <c r="AB131" s="6">
        <v>0</v>
      </c>
      <c r="AC131" s="6">
        <v>1</v>
      </c>
      <c r="AD131" s="14" t="s">
        <v>43</v>
      </c>
      <c r="AE131" s="13" t="s">
        <v>306</v>
      </c>
      <c r="AF131" s="13" t="s">
        <v>1309</v>
      </c>
      <c r="AG131" s="8" t="s">
        <v>1349</v>
      </c>
      <c r="AH131" s="11">
        <v>41620</v>
      </c>
      <c r="AI131" s="10">
        <v>678</v>
      </c>
      <c r="AJ131" s="12">
        <v>69.900000000000006</v>
      </c>
      <c r="AK131" s="12">
        <f t="shared" si="10"/>
        <v>10.309734513274336</v>
      </c>
      <c r="AL131" s="12" t="str">
        <f t="shared" si="8"/>
        <v>10% a 25%</v>
      </c>
      <c r="AM131" s="6" t="s">
        <v>1310</v>
      </c>
      <c r="AN131" s="6" t="s">
        <v>655</v>
      </c>
      <c r="AO131" s="6" t="s">
        <v>699</v>
      </c>
      <c r="AP131" s="6">
        <v>0</v>
      </c>
      <c r="AQ131" s="6" t="s">
        <v>613</v>
      </c>
      <c r="AR131" s="6" t="s">
        <v>1399</v>
      </c>
      <c r="AS131" s="6">
        <v>1</v>
      </c>
      <c r="AT131" s="6">
        <v>0</v>
      </c>
      <c r="AU131" s="6">
        <v>0</v>
      </c>
      <c r="AV131" s="6">
        <v>0</v>
      </c>
      <c r="AW131" s="6">
        <v>0</v>
      </c>
      <c r="AX131" s="31">
        <v>0</v>
      </c>
      <c r="AY131" s="31">
        <v>0</v>
      </c>
      <c r="AZ131" s="31">
        <v>0</v>
      </c>
      <c r="BA131" s="12">
        <f t="shared" ref="BA131:BA194" si="11">(AX131*365+AY131*30+AZ131)/30</f>
        <v>0</v>
      </c>
      <c r="BB131" s="31">
        <v>0</v>
      </c>
      <c r="BC131" s="31">
        <v>0</v>
      </c>
      <c r="BD131" s="31">
        <v>0</v>
      </c>
      <c r="BE131" s="31">
        <v>0</v>
      </c>
      <c r="BF131" s="12">
        <f t="shared" ref="BF131:BF194" si="12">(BC131*365+BD131*30+BE131)/30</f>
        <v>0</v>
      </c>
      <c r="BG131" s="6">
        <v>0</v>
      </c>
      <c r="BH131" s="6">
        <v>0</v>
      </c>
      <c r="BI131" s="6">
        <v>0</v>
      </c>
      <c r="BJ131" s="6" t="s">
        <v>620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</row>
    <row r="132" spans="1:70" ht="52.8" customHeight="1" x14ac:dyDescent="0.3">
      <c r="A132" s="6">
        <v>609098</v>
      </c>
      <c r="B132" s="6" t="s">
        <v>46</v>
      </c>
      <c r="C132" s="15" t="s">
        <v>307</v>
      </c>
      <c r="D132" s="6" t="s">
        <v>64</v>
      </c>
      <c r="E132" s="6" t="s">
        <v>15</v>
      </c>
      <c r="F132" s="7">
        <v>41949</v>
      </c>
      <c r="G132" s="7">
        <v>41963</v>
      </c>
      <c r="H132" s="8" t="s">
        <v>71</v>
      </c>
      <c r="I132" s="3" t="s">
        <v>17</v>
      </c>
      <c r="J132" s="3" t="s">
        <v>18</v>
      </c>
      <c r="K132" t="s">
        <v>19</v>
      </c>
      <c r="L132" s="6" t="s">
        <v>695</v>
      </c>
      <c r="M132" s="14" t="s">
        <v>626</v>
      </c>
      <c r="N132" s="6" t="s">
        <v>657</v>
      </c>
      <c r="O132" s="6">
        <v>0</v>
      </c>
      <c r="P132" s="6" t="s">
        <v>1090</v>
      </c>
      <c r="Q132" s="35">
        <v>0</v>
      </c>
      <c r="R132" s="35">
        <v>1</v>
      </c>
      <c r="S132" s="35">
        <v>0</v>
      </c>
      <c r="T132" s="35">
        <v>1</v>
      </c>
      <c r="U132" s="35">
        <v>0</v>
      </c>
      <c r="V132" s="35">
        <v>0</v>
      </c>
      <c r="W132" s="35">
        <v>0</v>
      </c>
      <c r="X132" s="6" t="s">
        <v>937</v>
      </c>
      <c r="Y132" s="6">
        <v>1</v>
      </c>
      <c r="Z132" s="6">
        <v>0</v>
      </c>
      <c r="AA132" s="6">
        <v>1</v>
      </c>
      <c r="AB132" s="6">
        <v>1</v>
      </c>
      <c r="AC132" s="6">
        <v>0</v>
      </c>
      <c r="AD132" s="14" t="s">
        <v>21</v>
      </c>
      <c r="AE132" s="13" t="s">
        <v>308</v>
      </c>
      <c r="AF132" s="13" t="s">
        <v>66</v>
      </c>
      <c r="AG132" s="8" t="s">
        <v>1357</v>
      </c>
      <c r="AH132" s="11">
        <v>40843</v>
      </c>
      <c r="AI132" s="10">
        <v>545</v>
      </c>
      <c r="AJ132" s="12">
        <v>80</v>
      </c>
      <c r="AK132" s="12">
        <f t="shared" si="10"/>
        <v>14.678899082568808</v>
      </c>
      <c r="AL132" s="12" t="str">
        <f t="shared" si="8"/>
        <v>10% a 25%</v>
      </c>
      <c r="AM132" s="6" t="s">
        <v>938</v>
      </c>
      <c r="AN132" s="6" t="s">
        <v>1455</v>
      </c>
      <c r="AO132" s="6" t="s">
        <v>699</v>
      </c>
      <c r="AP132" s="6">
        <v>0</v>
      </c>
      <c r="AQ132" s="6" t="s">
        <v>613</v>
      </c>
      <c r="AR132" s="6" t="s">
        <v>1399</v>
      </c>
      <c r="AS132" s="6">
        <v>1</v>
      </c>
      <c r="AT132" s="6">
        <v>0</v>
      </c>
      <c r="AU132" s="6">
        <v>0</v>
      </c>
      <c r="AV132" s="6">
        <v>0</v>
      </c>
      <c r="AW132" s="6" t="s">
        <v>686</v>
      </c>
      <c r="AX132" s="31">
        <v>1</v>
      </c>
      <c r="AY132" s="31">
        <v>0</v>
      </c>
      <c r="AZ132" s="31">
        <v>0</v>
      </c>
      <c r="BA132" s="12">
        <f t="shared" si="11"/>
        <v>12.166666666666666</v>
      </c>
      <c r="BB132" s="31">
        <v>10</v>
      </c>
      <c r="BC132" s="31">
        <v>0</v>
      </c>
      <c r="BD132" s="31">
        <v>0</v>
      </c>
      <c r="BE132" s="31">
        <v>0</v>
      </c>
      <c r="BF132" s="12">
        <f t="shared" si="12"/>
        <v>0</v>
      </c>
      <c r="BG132" s="6" t="s">
        <v>637</v>
      </c>
      <c r="BH132" s="6" t="s">
        <v>1394</v>
      </c>
      <c r="BI132" s="6">
        <v>0</v>
      </c>
      <c r="BJ132" s="6" t="s">
        <v>609</v>
      </c>
      <c r="BK132" s="6">
        <v>0</v>
      </c>
      <c r="BL132" s="6">
        <v>1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</row>
    <row r="133" spans="1:70" ht="52.8" customHeight="1" x14ac:dyDescent="0.3">
      <c r="A133" s="6">
        <v>602986</v>
      </c>
      <c r="B133" s="6" t="s">
        <v>46</v>
      </c>
      <c r="C133" s="15" t="s">
        <v>309</v>
      </c>
      <c r="D133" s="6" t="s">
        <v>55</v>
      </c>
      <c r="E133" s="6" t="s">
        <v>15</v>
      </c>
      <c r="F133" s="7">
        <v>41936</v>
      </c>
      <c r="G133" s="7">
        <v>41956</v>
      </c>
      <c r="H133" s="8" t="s">
        <v>52</v>
      </c>
      <c r="I133" s="3" t="s">
        <v>48</v>
      </c>
      <c r="J133" s="3" t="s">
        <v>18</v>
      </c>
      <c r="K133" t="s">
        <v>19</v>
      </c>
      <c r="L133" s="6" t="s">
        <v>695</v>
      </c>
      <c r="M133" s="14" t="s">
        <v>626</v>
      </c>
      <c r="N133" s="6" t="s">
        <v>657</v>
      </c>
      <c r="O133" s="6">
        <v>0</v>
      </c>
      <c r="P133" s="6" t="s">
        <v>713</v>
      </c>
      <c r="Q133" s="35">
        <v>1</v>
      </c>
      <c r="R133" s="35">
        <v>0</v>
      </c>
      <c r="S133" s="35">
        <v>0</v>
      </c>
      <c r="T133" s="35">
        <v>1</v>
      </c>
      <c r="U133" s="35">
        <v>0</v>
      </c>
      <c r="V133" s="35">
        <v>0</v>
      </c>
      <c r="W133" s="35">
        <v>0</v>
      </c>
      <c r="X133" s="6" t="s">
        <v>939</v>
      </c>
      <c r="Y133" s="6">
        <v>1</v>
      </c>
      <c r="Z133" s="6">
        <v>0</v>
      </c>
      <c r="AA133" s="6">
        <v>1</v>
      </c>
      <c r="AB133" s="6">
        <v>0</v>
      </c>
      <c r="AC133" s="6">
        <v>1</v>
      </c>
      <c r="AD133" s="14" t="s">
        <v>21</v>
      </c>
      <c r="AE133" s="13" t="s">
        <v>310</v>
      </c>
      <c r="AF133" s="13" t="s">
        <v>275</v>
      </c>
      <c r="AG133" s="8" t="s">
        <v>1349</v>
      </c>
      <c r="AH133" s="11">
        <v>41110</v>
      </c>
      <c r="AI133" s="10">
        <v>622</v>
      </c>
      <c r="AJ133" s="12">
        <v>1122.75</v>
      </c>
      <c r="AK133" s="12">
        <f t="shared" si="10"/>
        <v>180.5064308681672</v>
      </c>
      <c r="AL133" s="12" t="str">
        <f t="shared" ref="AL133:AL196" si="13">IF(AK133=0,"Não Informado",IF(AK133&lt;=10,"Até 10%",IF(AK133&lt;=25,"10% a 25%",IF(AK133&lt;=50,"25% a 50%","Acima de 50%"))))</f>
        <v>Acima de 50%</v>
      </c>
      <c r="AM133" s="6" t="s">
        <v>1372</v>
      </c>
      <c r="AN133" s="6" t="s">
        <v>1454</v>
      </c>
      <c r="AO133" s="6" t="s">
        <v>699</v>
      </c>
      <c r="AP133" s="6">
        <v>0</v>
      </c>
      <c r="AQ133" s="6" t="s">
        <v>940</v>
      </c>
      <c r="AR133" s="6" t="s">
        <v>1400</v>
      </c>
      <c r="AS133" s="6">
        <v>1</v>
      </c>
      <c r="AT133" s="6">
        <v>0</v>
      </c>
      <c r="AU133" s="6">
        <v>1</v>
      </c>
      <c r="AV133" s="6">
        <v>0</v>
      </c>
      <c r="AW133" s="6" t="s">
        <v>652</v>
      </c>
      <c r="AX133" s="31">
        <v>2</v>
      </c>
      <c r="AY133" s="31">
        <v>0</v>
      </c>
      <c r="AZ133" s="31">
        <v>0</v>
      </c>
      <c r="BA133" s="12">
        <f t="shared" si="11"/>
        <v>24.333333333333332</v>
      </c>
      <c r="BB133" s="31">
        <v>10</v>
      </c>
      <c r="BC133" s="31">
        <v>0</v>
      </c>
      <c r="BD133" s="31">
        <v>0</v>
      </c>
      <c r="BE133" s="31">
        <v>0</v>
      </c>
      <c r="BF133" s="12">
        <f t="shared" si="12"/>
        <v>0</v>
      </c>
      <c r="BG133" s="6" t="s">
        <v>636</v>
      </c>
      <c r="BH133" s="6" t="s">
        <v>1394</v>
      </c>
      <c r="BI133" s="6">
        <v>1</v>
      </c>
      <c r="BJ133" s="6" t="s">
        <v>609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</row>
    <row r="134" spans="1:70" ht="52.8" customHeight="1" x14ac:dyDescent="0.3">
      <c r="A134" s="6">
        <v>1531057</v>
      </c>
      <c r="B134" s="6" t="s">
        <v>26</v>
      </c>
      <c r="C134" s="15" t="s">
        <v>311</v>
      </c>
      <c r="D134" s="6" t="s">
        <v>41</v>
      </c>
      <c r="E134" s="6" t="s">
        <v>15</v>
      </c>
      <c r="F134" s="7">
        <v>42138</v>
      </c>
      <c r="G134" s="7">
        <v>42150</v>
      </c>
      <c r="H134" s="8" t="s">
        <v>71</v>
      </c>
      <c r="I134" s="3" t="s">
        <v>17</v>
      </c>
      <c r="J134" s="3" t="s">
        <v>18</v>
      </c>
      <c r="K134" t="s">
        <v>19</v>
      </c>
      <c r="L134" s="6" t="s">
        <v>695</v>
      </c>
      <c r="M134" s="14" t="s">
        <v>724</v>
      </c>
      <c r="N134" s="6" t="s">
        <v>657</v>
      </c>
      <c r="O134" s="6">
        <v>0</v>
      </c>
      <c r="P134" s="6" t="s">
        <v>941</v>
      </c>
      <c r="Q134" s="35">
        <v>0</v>
      </c>
      <c r="R134" s="35">
        <v>0</v>
      </c>
      <c r="S134" s="35">
        <v>1</v>
      </c>
      <c r="T134" s="35">
        <v>0</v>
      </c>
      <c r="U134" s="35">
        <v>0</v>
      </c>
      <c r="V134" s="35">
        <v>0</v>
      </c>
      <c r="W134" s="35">
        <v>0</v>
      </c>
      <c r="X134" s="6" t="s">
        <v>780</v>
      </c>
      <c r="Y134" s="6">
        <v>1</v>
      </c>
      <c r="Z134" s="6">
        <v>1</v>
      </c>
      <c r="AA134" s="6">
        <v>0</v>
      </c>
      <c r="AB134" s="6">
        <v>0</v>
      </c>
      <c r="AC134" s="6">
        <v>0</v>
      </c>
      <c r="AD134" s="14" t="s">
        <v>21</v>
      </c>
      <c r="AE134" s="13" t="s">
        <v>312</v>
      </c>
      <c r="AF134" s="13" t="s">
        <v>45</v>
      </c>
      <c r="AG134" s="8" t="s">
        <v>1357</v>
      </c>
      <c r="AH134" s="11">
        <v>40873</v>
      </c>
      <c r="AI134" s="10">
        <v>545</v>
      </c>
      <c r="AJ134" s="12">
        <v>91</v>
      </c>
      <c r="AK134" s="12">
        <f t="shared" si="10"/>
        <v>16.697247706422019</v>
      </c>
      <c r="AL134" s="12" t="str">
        <f t="shared" si="13"/>
        <v>10% a 25%</v>
      </c>
      <c r="AM134" s="6" t="s">
        <v>845</v>
      </c>
      <c r="AN134" s="6" t="s">
        <v>655</v>
      </c>
      <c r="AO134" s="6" t="s">
        <v>699</v>
      </c>
      <c r="AP134" s="6">
        <v>0</v>
      </c>
      <c r="AQ134" s="6" t="s">
        <v>777</v>
      </c>
      <c r="AR134" s="6" t="s">
        <v>1401</v>
      </c>
      <c r="AS134" s="6">
        <v>0</v>
      </c>
      <c r="AT134" s="6">
        <v>0</v>
      </c>
      <c r="AU134" s="6">
        <v>0</v>
      </c>
      <c r="AV134" s="6">
        <v>0</v>
      </c>
      <c r="AW134" s="6" t="s">
        <v>644</v>
      </c>
      <c r="AX134" s="31">
        <v>0</v>
      </c>
      <c r="AY134" s="31">
        <v>0</v>
      </c>
      <c r="AZ134" s="31">
        <v>0</v>
      </c>
      <c r="BA134" s="12">
        <f t="shared" si="11"/>
        <v>0</v>
      </c>
      <c r="BB134" s="31">
        <v>10</v>
      </c>
      <c r="BC134" s="31">
        <v>0</v>
      </c>
      <c r="BD134" s="31">
        <v>0</v>
      </c>
      <c r="BE134" s="31">
        <v>0</v>
      </c>
      <c r="BF134" s="12">
        <f t="shared" si="12"/>
        <v>0</v>
      </c>
      <c r="BG134" s="6">
        <v>0</v>
      </c>
      <c r="BH134" s="6">
        <v>0</v>
      </c>
      <c r="BI134" s="6">
        <v>0</v>
      </c>
      <c r="BJ134" s="6" t="s">
        <v>609</v>
      </c>
      <c r="BK134" s="6">
        <v>0</v>
      </c>
      <c r="BL134" s="6">
        <v>0</v>
      </c>
      <c r="BM134" s="6">
        <v>0</v>
      </c>
      <c r="BN134" s="6">
        <v>1</v>
      </c>
      <c r="BO134" s="6">
        <v>0</v>
      </c>
      <c r="BP134" s="6">
        <v>0</v>
      </c>
      <c r="BQ134" s="6">
        <v>0</v>
      </c>
      <c r="BR134" s="6">
        <v>0</v>
      </c>
    </row>
    <row r="135" spans="1:70" ht="52.8" customHeight="1" x14ac:dyDescent="0.3">
      <c r="A135" s="6">
        <v>655146</v>
      </c>
      <c r="B135" s="6" t="s">
        <v>313</v>
      </c>
      <c r="C135" s="27" t="s">
        <v>1342</v>
      </c>
      <c r="D135" s="6" t="s">
        <v>55</v>
      </c>
      <c r="E135" s="6" t="s">
        <v>15</v>
      </c>
      <c r="F135" s="7">
        <v>41948</v>
      </c>
      <c r="G135" s="7">
        <v>42038</v>
      </c>
      <c r="H135" s="8" t="s">
        <v>77</v>
      </c>
      <c r="I135" s="3" t="s">
        <v>48</v>
      </c>
      <c r="J135" s="3" t="s">
        <v>18</v>
      </c>
      <c r="K135" t="s">
        <v>19</v>
      </c>
      <c r="L135" s="6" t="s">
        <v>696</v>
      </c>
      <c r="M135" s="14" t="s">
        <v>626</v>
      </c>
      <c r="N135" s="6" t="s">
        <v>657</v>
      </c>
      <c r="O135" s="6">
        <v>0</v>
      </c>
      <c r="P135" s="6" t="s">
        <v>935</v>
      </c>
      <c r="Q135" s="35">
        <v>0</v>
      </c>
      <c r="R135" s="35">
        <v>0</v>
      </c>
      <c r="S135" s="35">
        <v>0</v>
      </c>
      <c r="T135" s="35">
        <v>1</v>
      </c>
      <c r="U135" s="35">
        <v>0</v>
      </c>
      <c r="V135" s="35">
        <v>0</v>
      </c>
      <c r="W135" s="35">
        <v>0</v>
      </c>
      <c r="X135" s="6" t="s">
        <v>801</v>
      </c>
      <c r="Y135" s="6">
        <v>1</v>
      </c>
      <c r="Z135" s="6">
        <v>0</v>
      </c>
      <c r="AA135" s="6">
        <v>0</v>
      </c>
      <c r="AB135" s="6">
        <v>1</v>
      </c>
      <c r="AC135" s="6">
        <v>0</v>
      </c>
      <c r="AD135" s="14" t="s">
        <v>43</v>
      </c>
      <c r="AE135" s="13" t="s">
        <v>314</v>
      </c>
      <c r="AF135" s="13" t="s">
        <v>1343</v>
      </c>
      <c r="AG135" s="8" t="s">
        <v>1357</v>
      </c>
      <c r="AH135" s="11">
        <v>40843</v>
      </c>
      <c r="AI135" s="10">
        <v>545</v>
      </c>
      <c r="AJ135" s="12">
        <v>25</v>
      </c>
      <c r="AK135" s="12">
        <f t="shared" si="10"/>
        <v>4.5871559633027523</v>
      </c>
      <c r="AL135" s="12" t="str">
        <f t="shared" si="13"/>
        <v>Até 10%</v>
      </c>
      <c r="AM135" s="6" t="s">
        <v>737</v>
      </c>
      <c r="AN135" s="6" t="s">
        <v>1454</v>
      </c>
      <c r="AO135" s="6" t="s">
        <v>699</v>
      </c>
      <c r="AP135" s="6">
        <v>0</v>
      </c>
      <c r="AQ135" s="6" t="s">
        <v>1344</v>
      </c>
      <c r="AR135" s="6" t="s">
        <v>1400</v>
      </c>
      <c r="AS135" s="6">
        <v>0</v>
      </c>
      <c r="AT135" s="6">
        <v>0</v>
      </c>
      <c r="AU135" s="6">
        <v>0</v>
      </c>
      <c r="AV135" s="6">
        <v>0</v>
      </c>
      <c r="AW135" s="6" t="s">
        <v>1074</v>
      </c>
      <c r="AX135" s="31">
        <v>1</v>
      </c>
      <c r="AY135" s="31">
        <v>4</v>
      </c>
      <c r="AZ135" s="31">
        <v>0</v>
      </c>
      <c r="BA135" s="12">
        <f t="shared" si="11"/>
        <v>16.166666666666668</v>
      </c>
      <c r="BB135" s="31">
        <v>6</v>
      </c>
      <c r="BC135" s="31">
        <v>0</v>
      </c>
      <c r="BD135" s="31">
        <v>0</v>
      </c>
      <c r="BE135" s="31">
        <v>0</v>
      </c>
      <c r="BF135" s="12">
        <f t="shared" si="12"/>
        <v>0</v>
      </c>
      <c r="BG135" s="6" t="s">
        <v>636</v>
      </c>
      <c r="BH135" s="6" t="s">
        <v>1394</v>
      </c>
      <c r="BI135" s="6">
        <v>1</v>
      </c>
      <c r="BJ135" s="23" t="s">
        <v>609</v>
      </c>
      <c r="BK135" s="23">
        <v>1</v>
      </c>
      <c r="BL135" s="23">
        <v>0</v>
      </c>
      <c r="BM135" s="23">
        <v>0</v>
      </c>
      <c r="BN135" s="23">
        <v>0</v>
      </c>
      <c r="BO135" s="6">
        <v>0</v>
      </c>
      <c r="BP135" s="6">
        <v>0</v>
      </c>
      <c r="BQ135" s="6">
        <v>0</v>
      </c>
      <c r="BR135" s="6">
        <v>0</v>
      </c>
    </row>
    <row r="136" spans="1:70" ht="52.8" customHeight="1" x14ac:dyDescent="0.3">
      <c r="A136" s="6">
        <v>687406</v>
      </c>
      <c r="B136" s="6" t="s">
        <v>13</v>
      </c>
      <c r="C136" s="27" t="s">
        <v>1345</v>
      </c>
      <c r="D136" s="6" t="s">
        <v>64</v>
      </c>
      <c r="E136" s="6" t="s">
        <v>15</v>
      </c>
      <c r="F136" s="7">
        <v>42031</v>
      </c>
      <c r="G136" s="7">
        <v>42110</v>
      </c>
      <c r="H136" s="8" t="s">
        <v>111</v>
      </c>
      <c r="I136" s="3" t="s">
        <v>17</v>
      </c>
      <c r="J136" s="3" t="s">
        <v>18</v>
      </c>
      <c r="K136" t="s">
        <v>19</v>
      </c>
      <c r="L136" s="6" t="s">
        <v>696</v>
      </c>
      <c r="M136" s="14" t="s">
        <v>626</v>
      </c>
      <c r="N136" s="6" t="s">
        <v>657</v>
      </c>
      <c r="O136" s="6">
        <v>0</v>
      </c>
      <c r="P136" s="6" t="s">
        <v>1346</v>
      </c>
      <c r="Q136" s="35">
        <v>1</v>
      </c>
      <c r="R136" s="35">
        <v>0</v>
      </c>
      <c r="S136" s="35">
        <v>0</v>
      </c>
      <c r="T136" s="35">
        <v>1</v>
      </c>
      <c r="U136" s="35">
        <v>0</v>
      </c>
      <c r="V136" s="35">
        <v>0</v>
      </c>
      <c r="W136" s="35">
        <v>0</v>
      </c>
      <c r="X136" s="6" t="s">
        <v>657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14" t="s">
        <v>43</v>
      </c>
      <c r="AE136" s="13" t="s">
        <v>22</v>
      </c>
      <c r="AF136" s="13" t="s">
        <v>194</v>
      </c>
      <c r="AG136" s="8" t="s">
        <v>194</v>
      </c>
      <c r="AH136" s="11">
        <v>40596</v>
      </c>
      <c r="AI136" s="10">
        <v>545</v>
      </c>
      <c r="AJ136" s="12">
        <v>157</v>
      </c>
      <c r="AK136" s="12">
        <f t="shared" si="10"/>
        <v>28.807339449541285</v>
      </c>
      <c r="AL136" s="12" t="str">
        <f t="shared" si="13"/>
        <v>25% a 50%</v>
      </c>
      <c r="AM136" s="6" t="s">
        <v>737</v>
      </c>
      <c r="AN136" s="6" t="s">
        <v>1454</v>
      </c>
      <c r="AO136" s="6" t="s">
        <v>699</v>
      </c>
      <c r="AP136" s="6">
        <v>0</v>
      </c>
      <c r="AQ136" s="6" t="s">
        <v>1347</v>
      </c>
      <c r="AR136" s="6" t="s">
        <v>1403</v>
      </c>
      <c r="AS136" s="6">
        <v>1</v>
      </c>
      <c r="AT136" s="6">
        <v>0</v>
      </c>
      <c r="AU136" s="6">
        <v>0</v>
      </c>
      <c r="AV136" s="6">
        <v>0</v>
      </c>
      <c r="AW136" s="6" t="s">
        <v>1100</v>
      </c>
      <c r="AX136" s="31">
        <v>1</v>
      </c>
      <c r="AY136" s="31">
        <v>0</v>
      </c>
      <c r="AZ136" s="31">
        <v>0</v>
      </c>
      <c r="BA136" s="12">
        <f t="shared" si="11"/>
        <v>12.166666666666666</v>
      </c>
      <c r="BB136" s="31">
        <v>5</v>
      </c>
      <c r="BC136" s="31">
        <v>0</v>
      </c>
      <c r="BD136" s="31">
        <v>0</v>
      </c>
      <c r="BE136" s="31">
        <v>0</v>
      </c>
      <c r="BF136" s="12">
        <f t="shared" si="12"/>
        <v>0</v>
      </c>
      <c r="BG136" s="6" t="s">
        <v>636</v>
      </c>
      <c r="BH136" s="6" t="s">
        <v>1394</v>
      </c>
      <c r="BI136" s="6">
        <v>1</v>
      </c>
      <c r="BJ136" s="23" t="s">
        <v>609</v>
      </c>
      <c r="BK136" s="23">
        <v>0</v>
      </c>
      <c r="BL136" s="23">
        <v>0</v>
      </c>
      <c r="BM136" s="23">
        <v>0</v>
      </c>
      <c r="BN136" s="23">
        <v>0</v>
      </c>
      <c r="BO136" s="6">
        <v>0</v>
      </c>
      <c r="BP136" s="6">
        <v>0</v>
      </c>
      <c r="BQ136" s="6">
        <v>0</v>
      </c>
      <c r="BR136" s="6">
        <v>0</v>
      </c>
    </row>
    <row r="137" spans="1:70" ht="52.8" customHeight="1" x14ac:dyDescent="0.3">
      <c r="A137" s="6">
        <v>347014</v>
      </c>
      <c r="B137" s="6" t="s">
        <v>24</v>
      </c>
      <c r="C137" s="15" t="s">
        <v>315</v>
      </c>
      <c r="D137" s="6" t="s">
        <v>33</v>
      </c>
      <c r="E137" s="6" t="s">
        <v>15</v>
      </c>
      <c r="F137" s="7">
        <v>42382</v>
      </c>
      <c r="G137" s="7">
        <v>42479</v>
      </c>
      <c r="H137" s="8" t="s">
        <v>42</v>
      </c>
      <c r="I137" s="3" t="s">
        <v>17</v>
      </c>
      <c r="J137" s="3" t="s">
        <v>18</v>
      </c>
      <c r="K137" t="s">
        <v>19</v>
      </c>
      <c r="L137" s="6" t="s">
        <v>696</v>
      </c>
      <c r="M137" s="14" t="s">
        <v>35</v>
      </c>
      <c r="N137" s="6" t="s">
        <v>657</v>
      </c>
      <c r="O137" s="6">
        <v>0</v>
      </c>
      <c r="P137" s="6" t="s">
        <v>942</v>
      </c>
      <c r="Q137" s="35">
        <v>0</v>
      </c>
      <c r="R137" s="35">
        <v>0</v>
      </c>
      <c r="S137" s="35">
        <v>1</v>
      </c>
      <c r="T137" s="35">
        <v>0</v>
      </c>
      <c r="U137" s="35">
        <v>0</v>
      </c>
      <c r="V137" s="35">
        <v>0</v>
      </c>
      <c r="W137" s="35">
        <v>0</v>
      </c>
      <c r="X137" s="6" t="s">
        <v>923</v>
      </c>
      <c r="Y137" s="6">
        <v>1</v>
      </c>
      <c r="Z137" s="6">
        <v>1</v>
      </c>
      <c r="AA137" s="6">
        <v>1</v>
      </c>
      <c r="AB137" s="6">
        <v>0</v>
      </c>
      <c r="AC137" s="6">
        <v>0</v>
      </c>
      <c r="AD137" s="14" t="s">
        <v>43</v>
      </c>
      <c r="AE137" s="13" t="s">
        <v>316</v>
      </c>
      <c r="AF137" s="13" t="s">
        <v>36</v>
      </c>
      <c r="AG137" s="8" t="s">
        <v>1357</v>
      </c>
      <c r="AH137" s="11">
        <v>42095</v>
      </c>
      <c r="AI137" s="10">
        <v>788</v>
      </c>
      <c r="AJ137" s="12">
        <v>25.9</v>
      </c>
      <c r="AK137" s="12">
        <f t="shared" si="10"/>
        <v>3.2868020304568528</v>
      </c>
      <c r="AL137" s="12" t="str">
        <f t="shared" si="13"/>
        <v>Até 10%</v>
      </c>
      <c r="AM137" s="6" t="s">
        <v>994</v>
      </c>
      <c r="AN137" s="6" t="s">
        <v>1453</v>
      </c>
      <c r="AO137" s="6" t="s">
        <v>699</v>
      </c>
      <c r="AP137" s="6">
        <v>0</v>
      </c>
      <c r="AQ137" s="6" t="s">
        <v>658</v>
      </c>
      <c r="AR137" s="6" t="s">
        <v>1399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31">
        <v>0</v>
      </c>
      <c r="AY137" s="31">
        <v>0</v>
      </c>
      <c r="AZ137" s="31">
        <v>0</v>
      </c>
      <c r="BA137" s="12">
        <f t="shared" si="11"/>
        <v>0</v>
      </c>
      <c r="BB137" s="31">
        <v>0</v>
      </c>
      <c r="BC137" s="31">
        <v>0</v>
      </c>
      <c r="BD137" s="31">
        <v>0</v>
      </c>
      <c r="BE137" s="31">
        <v>0</v>
      </c>
      <c r="BF137" s="12">
        <f t="shared" si="12"/>
        <v>0</v>
      </c>
      <c r="BG137" s="6">
        <v>0</v>
      </c>
      <c r="BH137" s="6">
        <v>0</v>
      </c>
      <c r="BI137" s="6">
        <v>0</v>
      </c>
      <c r="BJ137" s="6" t="s">
        <v>620</v>
      </c>
      <c r="BK137" s="6">
        <v>0</v>
      </c>
      <c r="BL137" s="6">
        <v>1</v>
      </c>
      <c r="BM137" s="6">
        <v>1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</row>
    <row r="138" spans="1:70" ht="52.8" customHeight="1" x14ac:dyDescent="0.3">
      <c r="A138" s="6">
        <v>351033</v>
      </c>
      <c r="B138" s="6" t="s">
        <v>24</v>
      </c>
      <c r="C138" s="15" t="s">
        <v>317</v>
      </c>
      <c r="D138" s="6" t="s">
        <v>14</v>
      </c>
      <c r="E138" s="6" t="s">
        <v>15</v>
      </c>
      <c r="F138" s="7">
        <v>42433</v>
      </c>
      <c r="G138" s="7">
        <v>42640</v>
      </c>
      <c r="H138" s="8" t="s">
        <v>59</v>
      </c>
      <c r="I138" s="3" t="s">
        <v>17</v>
      </c>
      <c r="J138" s="3" t="s">
        <v>18</v>
      </c>
      <c r="K138" t="s">
        <v>19</v>
      </c>
      <c r="L138" s="6" t="s">
        <v>696</v>
      </c>
      <c r="M138" s="14" t="s">
        <v>930</v>
      </c>
      <c r="N138" s="6" t="s">
        <v>703</v>
      </c>
      <c r="O138" s="6">
        <v>1</v>
      </c>
      <c r="P138" s="6" t="s">
        <v>826</v>
      </c>
      <c r="Q138" s="35">
        <v>0</v>
      </c>
      <c r="R138" s="35">
        <v>0</v>
      </c>
      <c r="S138" s="35">
        <v>0</v>
      </c>
      <c r="T138" s="35">
        <v>0</v>
      </c>
      <c r="U138" s="35">
        <v>1</v>
      </c>
      <c r="V138" s="35">
        <v>0</v>
      </c>
      <c r="W138" s="35">
        <v>0</v>
      </c>
      <c r="X138" s="6" t="s">
        <v>860</v>
      </c>
      <c r="Y138" s="6">
        <v>1</v>
      </c>
      <c r="Z138" s="6">
        <v>1</v>
      </c>
      <c r="AA138" s="6">
        <v>1</v>
      </c>
      <c r="AB138" s="6">
        <v>1</v>
      </c>
      <c r="AC138" s="6">
        <v>1</v>
      </c>
      <c r="AD138" s="14" t="s">
        <v>43</v>
      </c>
      <c r="AE138" s="13" t="s">
        <v>318</v>
      </c>
      <c r="AF138" s="13" t="s">
        <v>23</v>
      </c>
      <c r="AG138" s="8" t="s">
        <v>1357</v>
      </c>
      <c r="AH138" s="11">
        <v>41909</v>
      </c>
      <c r="AI138" s="10">
        <v>724</v>
      </c>
      <c r="AJ138" s="12">
        <v>40</v>
      </c>
      <c r="AK138" s="12">
        <f t="shared" si="10"/>
        <v>5.5248618784530388</v>
      </c>
      <c r="AL138" s="12" t="str">
        <f t="shared" si="13"/>
        <v>Até 10%</v>
      </c>
      <c r="AM138" s="6" t="s">
        <v>943</v>
      </c>
      <c r="AN138" s="6" t="s">
        <v>1453</v>
      </c>
      <c r="AO138" s="6" t="s">
        <v>701</v>
      </c>
      <c r="AP138" s="6">
        <v>1</v>
      </c>
      <c r="AQ138" s="6" t="s">
        <v>613</v>
      </c>
      <c r="AR138" s="6" t="s">
        <v>1399</v>
      </c>
      <c r="AS138" s="6">
        <v>1</v>
      </c>
      <c r="AT138" s="6">
        <v>0</v>
      </c>
      <c r="AU138" s="6">
        <v>0</v>
      </c>
      <c r="AV138" s="6">
        <v>0</v>
      </c>
      <c r="AW138" s="6">
        <v>0</v>
      </c>
      <c r="AX138" s="31">
        <v>0</v>
      </c>
      <c r="AY138" s="31">
        <v>0</v>
      </c>
      <c r="AZ138" s="31">
        <v>0</v>
      </c>
      <c r="BA138" s="12">
        <f t="shared" si="11"/>
        <v>0</v>
      </c>
      <c r="BB138" s="31">
        <v>0</v>
      </c>
      <c r="BC138" s="31">
        <v>0</v>
      </c>
      <c r="BD138" s="31">
        <v>0</v>
      </c>
      <c r="BE138" s="31">
        <v>0</v>
      </c>
      <c r="BF138" s="12">
        <f t="shared" si="12"/>
        <v>0</v>
      </c>
      <c r="BG138" s="6">
        <v>0</v>
      </c>
      <c r="BH138" s="6">
        <v>0</v>
      </c>
      <c r="BI138" s="6">
        <v>0</v>
      </c>
      <c r="BJ138" s="6" t="s">
        <v>620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</row>
    <row r="139" spans="1:70" ht="52.8" customHeight="1" x14ac:dyDescent="0.3">
      <c r="A139" s="6">
        <v>678125</v>
      </c>
      <c r="B139" s="6" t="s">
        <v>13</v>
      </c>
      <c r="C139" s="15" t="s">
        <v>946</v>
      </c>
      <c r="D139" s="6" t="s">
        <v>106</v>
      </c>
      <c r="E139" s="6" t="s">
        <v>15</v>
      </c>
      <c r="F139" s="7">
        <v>42088</v>
      </c>
      <c r="G139" s="7">
        <v>42313</v>
      </c>
      <c r="H139" s="8" t="s">
        <v>16</v>
      </c>
      <c r="I139" s="3" t="s">
        <v>17</v>
      </c>
      <c r="J139" s="3" t="s">
        <v>18</v>
      </c>
      <c r="K139" t="s">
        <v>19</v>
      </c>
      <c r="L139" s="6" t="s">
        <v>695</v>
      </c>
      <c r="M139" s="14" t="s">
        <v>626</v>
      </c>
      <c r="N139" s="6" t="s">
        <v>657</v>
      </c>
      <c r="O139" s="6">
        <v>0</v>
      </c>
      <c r="P139" s="6" t="s">
        <v>859</v>
      </c>
      <c r="Q139" s="35">
        <v>1</v>
      </c>
      <c r="R139" s="35">
        <v>0</v>
      </c>
      <c r="S139" s="35">
        <v>1</v>
      </c>
      <c r="T139" s="35">
        <v>0</v>
      </c>
      <c r="U139" s="35">
        <v>0</v>
      </c>
      <c r="V139" s="35">
        <v>0</v>
      </c>
      <c r="W139" s="35">
        <v>0</v>
      </c>
      <c r="X139" s="6" t="s">
        <v>937</v>
      </c>
      <c r="Y139" s="6">
        <v>1</v>
      </c>
      <c r="Z139" s="6">
        <v>0</v>
      </c>
      <c r="AA139" s="6">
        <v>1</v>
      </c>
      <c r="AB139" s="6">
        <v>1</v>
      </c>
      <c r="AC139" s="6">
        <v>0</v>
      </c>
      <c r="AD139" s="14" t="s">
        <v>43</v>
      </c>
      <c r="AE139" s="13" t="s">
        <v>319</v>
      </c>
      <c r="AF139" s="13" t="s">
        <v>108</v>
      </c>
      <c r="AG139" s="8" t="s">
        <v>1357</v>
      </c>
      <c r="AH139" s="11">
        <v>41129</v>
      </c>
      <c r="AI139" s="10">
        <v>622</v>
      </c>
      <c r="AJ139" s="12">
        <v>180</v>
      </c>
      <c r="AK139" s="12">
        <f t="shared" si="10"/>
        <v>28.938906752411576</v>
      </c>
      <c r="AL139" s="12" t="str">
        <f t="shared" si="13"/>
        <v>25% a 50%</v>
      </c>
      <c r="AM139" s="6" t="s">
        <v>618</v>
      </c>
      <c r="AN139" s="6" t="s">
        <v>618</v>
      </c>
      <c r="AO139" s="6" t="s">
        <v>701</v>
      </c>
      <c r="AP139" s="6">
        <v>1</v>
      </c>
      <c r="AQ139" s="6" t="s">
        <v>613</v>
      </c>
      <c r="AR139" s="6" t="s">
        <v>1399</v>
      </c>
      <c r="AS139" s="6">
        <v>1</v>
      </c>
      <c r="AT139" s="6">
        <v>0</v>
      </c>
      <c r="AU139" s="6">
        <v>0</v>
      </c>
      <c r="AV139" s="6">
        <v>0</v>
      </c>
      <c r="AW139" s="6" t="s">
        <v>686</v>
      </c>
      <c r="AX139" s="31">
        <v>1</v>
      </c>
      <c r="AY139" s="31">
        <v>0</v>
      </c>
      <c r="AZ139" s="31">
        <v>0</v>
      </c>
      <c r="BA139" s="12">
        <f t="shared" si="11"/>
        <v>12.166666666666666</v>
      </c>
      <c r="BB139" s="31">
        <v>10</v>
      </c>
      <c r="BC139" s="31">
        <v>0</v>
      </c>
      <c r="BD139" s="31">
        <v>0</v>
      </c>
      <c r="BE139" s="31">
        <v>0</v>
      </c>
      <c r="BF139" s="12">
        <f t="shared" si="12"/>
        <v>0</v>
      </c>
      <c r="BG139" s="6" t="s">
        <v>637</v>
      </c>
      <c r="BH139" s="6" t="s">
        <v>1394</v>
      </c>
      <c r="BI139" s="6">
        <v>0</v>
      </c>
      <c r="BJ139" s="6" t="s">
        <v>609</v>
      </c>
      <c r="BK139" s="6">
        <v>0</v>
      </c>
      <c r="BL139" s="6">
        <v>0</v>
      </c>
      <c r="BM139" s="6">
        <v>0</v>
      </c>
      <c r="BN139" s="6">
        <v>1</v>
      </c>
      <c r="BO139" s="6">
        <v>0</v>
      </c>
      <c r="BP139" s="6">
        <v>0</v>
      </c>
      <c r="BQ139" s="6">
        <v>0</v>
      </c>
      <c r="BR139" s="6">
        <v>0</v>
      </c>
    </row>
    <row r="140" spans="1:70" ht="52.8" customHeight="1" x14ac:dyDescent="0.3">
      <c r="A140" s="6">
        <v>1531157</v>
      </c>
      <c r="B140" s="6" t="s">
        <v>26</v>
      </c>
      <c r="C140" s="15" t="s">
        <v>320</v>
      </c>
      <c r="D140" s="6" t="s">
        <v>41</v>
      </c>
      <c r="E140" s="6" t="s">
        <v>15</v>
      </c>
      <c r="F140" s="7">
        <v>42138</v>
      </c>
      <c r="G140" s="7">
        <v>42218</v>
      </c>
      <c r="H140" s="8" t="s">
        <v>52</v>
      </c>
      <c r="I140" s="3" t="s">
        <v>48</v>
      </c>
      <c r="J140" s="3" t="s">
        <v>18</v>
      </c>
      <c r="K140" t="s">
        <v>19</v>
      </c>
      <c r="L140" s="6" t="s">
        <v>695</v>
      </c>
      <c r="M140" s="14" t="s">
        <v>724</v>
      </c>
      <c r="N140" s="6" t="s">
        <v>657</v>
      </c>
      <c r="O140" s="6">
        <v>0</v>
      </c>
      <c r="P140" s="6" t="s">
        <v>713</v>
      </c>
      <c r="Q140" s="35">
        <v>1</v>
      </c>
      <c r="R140" s="35">
        <v>0</v>
      </c>
      <c r="S140" s="35">
        <v>0</v>
      </c>
      <c r="T140" s="35">
        <v>1</v>
      </c>
      <c r="U140" s="35">
        <v>0</v>
      </c>
      <c r="V140" s="35">
        <v>0</v>
      </c>
      <c r="W140" s="35">
        <v>0</v>
      </c>
      <c r="X140" s="6" t="s">
        <v>657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14" t="s">
        <v>21</v>
      </c>
      <c r="AE140" s="13" t="s">
        <v>321</v>
      </c>
      <c r="AF140" s="13" t="s">
        <v>947</v>
      </c>
      <c r="AG140" s="8" t="s">
        <v>1357</v>
      </c>
      <c r="AH140" s="11">
        <v>41662</v>
      </c>
      <c r="AI140" s="10">
        <v>724</v>
      </c>
      <c r="AJ140" s="12">
        <v>110.24</v>
      </c>
      <c r="AK140" s="12">
        <f t="shared" si="10"/>
        <v>15.226519337016576</v>
      </c>
      <c r="AL140" s="12" t="str">
        <f t="shared" si="13"/>
        <v>10% a 25%</v>
      </c>
      <c r="AM140" s="6" t="s">
        <v>779</v>
      </c>
      <c r="AN140" s="6" t="s">
        <v>1453</v>
      </c>
      <c r="AO140" s="6" t="s">
        <v>701</v>
      </c>
      <c r="AP140" s="6">
        <v>1</v>
      </c>
      <c r="AQ140" s="6" t="s">
        <v>948</v>
      </c>
      <c r="AR140" s="6" t="s">
        <v>1400</v>
      </c>
      <c r="AS140" s="6">
        <v>1</v>
      </c>
      <c r="AT140" s="6">
        <v>0</v>
      </c>
      <c r="AU140" s="6">
        <v>1</v>
      </c>
      <c r="AV140" s="6">
        <v>0</v>
      </c>
      <c r="AW140" s="6" t="s">
        <v>1378</v>
      </c>
      <c r="AX140" s="31">
        <v>2</v>
      </c>
      <c r="AY140" s="31">
        <v>4</v>
      </c>
      <c r="AZ140" s="31">
        <v>0</v>
      </c>
      <c r="BA140" s="12">
        <f t="shared" si="11"/>
        <v>28.333333333333332</v>
      </c>
      <c r="BB140" s="31">
        <v>10</v>
      </c>
      <c r="BC140" s="31">
        <v>0</v>
      </c>
      <c r="BD140" s="31">
        <v>0</v>
      </c>
      <c r="BE140" s="31">
        <v>0</v>
      </c>
      <c r="BF140" s="12">
        <f t="shared" si="12"/>
        <v>0</v>
      </c>
      <c r="BG140" s="6" t="s">
        <v>636</v>
      </c>
      <c r="BH140" s="6" t="s">
        <v>1394</v>
      </c>
      <c r="BI140" s="6">
        <v>1</v>
      </c>
      <c r="BJ140" s="6" t="s">
        <v>609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</row>
    <row r="141" spans="1:70" ht="52.8" customHeight="1" x14ac:dyDescent="0.3">
      <c r="A141" s="6">
        <v>313850</v>
      </c>
      <c r="B141" s="6" t="s">
        <v>24</v>
      </c>
      <c r="C141" s="15" t="s">
        <v>322</v>
      </c>
      <c r="D141" s="6" t="s">
        <v>33</v>
      </c>
      <c r="E141" s="6" t="s">
        <v>15</v>
      </c>
      <c r="F141" s="7">
        <v>42017</v>
      </c>
      <c r="G141" s="7">
        <v>42467</v>
      </c>
      <c r="H141" s="8" t="s">
        <v>94</v>
      </c>
      <c r="I141" s="3" t="s">
        <v>17</v>
      </c>
      <c r="J141" s="3" t="s">
        <v>18</v>
      </c>
      <c r="K141" t="s">
        <v>19</v>
      </c>
      <c r="L141" s="6" t="s">
        <v>695</v>
      </c>
      <c r="M141" s="14" t="s">
        <v>35</v>
      </c>
      <c r="N141" s="6" t="s">
        <v>657</v>
      </c>
      <c r="O141" s="6">
        <v>0</v>
      </c>
      <c r="P141" s="6" t="s">
        <v>951</v>
      </c>
      <c r="Q141" s="35">
        <v>1</v>
      </c>
      <c r="R141" s="35">
        <v>0</v>
      </c>
      <c r="S141" s="35">
        <v>1</v>
      </c>
      <c r="T141" s="35">
        <v>0</v>
      </c>
      <c r="U141" s="35">
        <v>0</v>
      </c>
      <c r="V141" s="35">
        <v>0</v>
      </c>
      <c r="W141" s="35">
        <v>0</v>
      </c>
      <c r="X141" s="6" t="s">
        <v>657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14" t="s">
        <v>43</v>
      </c>
      <c r="AE141" s="13" t="s">
        <v>323</v>
      </c>
      <c r="AF141" s="13" t="s">
        <v>324</v>
      </c>
      <c r="AG141" s="8" t="s">
        <v>1349</v>
      </c>
      <c r="AH141" s="11">
        <v>40213</v>
      </c>
      <c r="AI141" s="10">
        <v>510</v>
      </c>
      <c r="AJ141" s="12">
        <v>271.23</v>
      </c>
      <c r="AK141" s="12">
        <f t="shared" si="10"/>
        <v>53.182352941176468</v>
      </c>
      <c r="AL141" s="12" t="str">
        <f t="shared" si="13"/>
        <v>Acima de 50%</v>
      </c>
      <c r="AM141" s="6" t="s">
        <v>950</v>
      </c>
      <c r="AN141" s="6" t="s">
        <v>618</v>
      </c>
      <c r="AO141" s="6" t="s">
        <v>699</v>
      </c>
      <c r="AP141" s="6">
        <v>0</v>
      </c>
      <c r="AQ141" s="6" t="s">
        <v>613</v>
      </c>
      <c r="AR141" s="6" t="s">
        <v>1399</v>
      </c>
      <c r="AS141" s="6">
        <v>1</v>
      </c>
      <c r="AT141" s="6">
        <v>0</v>
      </c>
      <c r="AU141" s="6">
        <v>0</v>
      </c>
      <c r="AV141" s="6">
        <v>0</v>
      </c>
      <c r="AW141" s="6" t="s">
        <v>949</v>
      </c>
      <c r="AX141" s="31">
        <v>1</v>
      </c>
      <c r="AY141" s="31">
        <v>2</v>
      </c>
      <c r="AZ141" s="31">
        <v>12</v>
      </c>
      <c r="BA141" s="12">
        <f t="shared" si="11"/>
        <v>14.566666666666666</v>
      </c>
      <c r="BB141" s="31">
        <v>12</v>
      </c>
      <c r="BC141" s="31">
        <v>0</v>
      </c>
      <c r="BD141" s="31">
        <v>0</v>
      </c>
      <c r="BE141" s="31">
        <v>0</v>
      </c>
      <c r="BF141" s="12">
        <f t="shared" si="12"/>
        <v>0</v>
      </c>
      <c r="BG141" s="6" t="s">
        <v>615</v>
      </c>
      <c r="BH141" s="6" t="s">
        <v>1393</v>
      </c>
      <c r="BI141" s="6">
        <v>0</v>
      </c>
      <c r="BJ141" s="6" t="s">
        <v>609</v>
      </c>
      <c r="BK141" s="6">
        <v>0</v>
      </c>
      <c r="BL141" s="6">
        <v>1</v>
      </c>
      <c r="BM141" s="6">
        <v>1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</row>
    <row r="142" spans="1:70" ht="52.8" customHeight="1" x14ac:dyDescent="0.3">
      <c r="A142" s="6">
        <v>322552</v>
      </c>
      <c r="B142" s="6" t="s">
        <v>24</v>
      </c>
      <c r="C142" s="15" t="s">
        <v>325</v>
      </c>
      <c r="D142" s="6" t="s">
        <v>64</v>
      </c>
      <c r="E142" s="6" t="s">
        <v>15</v>
      </c>
      <c r="F142" s="7">
        <v>42123</v>
      </c>
      <c r="G142" s="7">
        <v>42262</v>
      </c>
      <c r="H142" s="8" t="s">
        <v>59</v>
      </c>
      <c r="I142" s="3" t="s">
        <v>48</v>
      </c>
      <c r="J142" s="3" t="s">
        <v>18</v>
      </c>
      <c r="K142" t="s">
        <v>19</v>
      </c>
      <c r="L142" s="6" t="s">
        <v>696</v>
      </c>
      <c r="M142" s="14" t="s">
        <v>35</v>
      </c>
      <c r="N142" s="6" t="s">
        <v>657</v>
      </c>
      <c r="O142" s="6">
        <v>0</v>
      </c>
      <c r="P142" s="6" t="s">
        <v>713</v>
      </c>
      <c r="Q142" s="35">
        <v>1</v>
      </c>
      <c r="R142" s="35">
        <v>0</v>
      </c>
      <c r="S142" s="35">
        <v>0</v>
      </c>
      <c r="T142" s="35">
        <v>1</v>
      </c>
      <c r="U142" s="35">
        <v>0</v>
      </c>
      <c r="V142" s="35">
        <v>0</v>
      </c>
      <c r="W142" s="35">
        <v>0</v>
      </c>
      <c r="X142" s="6" t="s">
        <v>657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14" t="s">
        <v>43</v>
      </c>
      <c r="AE142" s="13" t="s">
        <v>326</v>
      </c>
      <c r="AF142" s="13" t="s">
        <v>194</v>
      </c>
      <c r="AG142" s="8" t="s">
        <v>194</v>
      </c>
      <c r="AH142" s="11">
        <v>39570</v>
      </c>
      <c r="AI142" s="10">
        <v>415</v>
      </c>
      <c r="AJ142" s="12">
        <v>99</v>
      </c>
      <c r="AK142" s="12">
        <f t="shared" si="10"/>
        <v>23.85542168674699</v>
      </c>
      <c r="AL142" s="12" t="str">
        <f t="shared" si="13"/>
        <v>10% a 25%</v>
      </c>
      <c r="AM142" s="6" t="s">
        <v>786</v>
      </c>
      <c r="AN142" s="6" t="s">
        <v>1455</v>
      </c>
      <c r="AO142" s="6" t="s">
        <v>699</v>
      </c>
      <c r="AP142" s="6">
        <v>0</v>
      </c>
      <c r="AQ142" s="6" t="s">
        <v>952</v>
      </c>
      <c r="AR142" s="6" t="s">
        <v>1403</v>
      </c>
      <c r="AS142" s="6">
        <v>1</v>
      </c>
      <c r="AT142" s="6">
        <v>0</v>
      </c>
      <c r="AU142" s="6">
        <v>0</v>
      </c>
      <c r="AV142" s="6">
        <v>0</v>
      </c>
      <c r="AW142" s="6" t="s">
        <v>862</v>
      </c>
      <c r="AX142" s="31">
        <v>0</v>
      </c>
      <c r="AY142" s="31">
        <v>8</v>
      </c>
      <c r="AZ142" s="31">
        <v>0</v>
      </c>
      <c r="BA142" s="12">
        <f t="shared" si="11"/>
        <v>8</v>
      </c>
      <c r="BB142" s="31">
        <v>3</v>
      </c>
      <c r="BC142" s="31">
        <v>0</v>
      </c>
      <c r="BD142" s="31">
        <v>0</v>
      </c>
      <c r="BE142" s="31">
        <v>0</v>
      </c>
      <c r="BF142" s="12">
        <f t="shared" si="12"/>
        <v>0</v>
      </c>
      <c r="BG142" s="6" t="s">
        <v>636</v>
      </c>
      <c r="BH142" s="6" t="s">
        <v>1394</v>
      </c>
      <c r="BI142" s="6">
        <v>1</v>
      </c>
      <c r="BJ142" s="6" t="s">
        <v>609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</row>
    <row r="143" spans="1:70" ht="52.8" customHeight="1" x14ac:dyDescent="0.3">
      <c r="A143" s="6">
        <v>670526</v>
      </c>
      <c r="B143" s="6" t="s">
        <v>46</v>
      </c>
      <c r="C143" s="15" t="s">
        <v>327</v>
      </c>
      <c r="D143" s="6" t="s">
        <v>106</v>
      </c>
      <c r="E143" s="6" t="s">
        <v>15</v>
      </c>
      <c r="F143" s="7">
        <v>42074</v>
      </c>
      <c r="G143" s="7">
        <v>42485</v>
      </c>
      <c r="H143" s="8" t="s">
        <v>42</v>
      </c>
      <c r="I143" s="3" t="s">
        <v>48</v>
      </c>
      <c r="J143" s="3" t="s">
        <v>18</v>
      </c>
      <c r="K143" t="s">
        <v>19</v>
      </c>
      <c r="L143" s="6" t="s">
        <v>696</v>
      </c>
      <c r="M143" s="14" t="s">
        <v>626</v>
      </c>
      <c r="N143" s="6" t="s">
        <v>657</v>
      </c>
      <c r="O143" s="6">
        <v>0</v>
      </c>
      <c r="P143" s="6" t="s">
        <v>882</v>
      </c>
      <c r="Q143" s="35">
        <v>0</v>
      </c>
      <c r="R143" s="35">
        <v>1</v>
      </c>
      <c r="S143" s="35">
        <v>0</v>
      </c>
      <c r="T143" s="35">
        <v>1</v>
      </c>
      <c r="U143" s="35">
        <v>0</v>
      </c>
      <c r="V143" s="35">
        <v>0</v>
      </c>
      <c r="W143" s="35">
        <v>0</v>
      </c>
      <c r="X143" s="6" t="s">
        <v>657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14" t="s">
        <v>21</v>
      </c>
      <c r="AE143" s="13" t="s">
        <v>328</v>
      </c>
      <c r="AF143" s="13" t="s">
        <v>108</v>
      </c>
      <c r="AG143" s="8" t="s">
        <v>1357</v>
      </c>
      <c r="AH143" s="11">
        <v>39511</v>
      </c>
      <c r="AI143" s="10">
        <v>415</v>
      </c>
      <c r="AJ143" s="12">
        <v>73</v>
      </c>
      <c r="AK143" s="12">
        <f t="shared" si="10"/>
        <v>17.590361445783131</v>
      </c>
      <c r="AL143" s="12" t="str">
        <f t="shared" si="13"/>
        <v>10% a 25%</v>
      </c>
      <c r="AM143" s="6" t="s">
        <v>737</v>
      </c>
      <c r="AN143" s="6" t="s">
        <v>1454</v>
      </c>
      <c r="AO143" s="6" t="s">
        <v>701</v>
      </c>
      <c r="AP143" s="6">
        <v>1</v>
      </c>
      <c r="AQ143" s="6" t="s">
        <v>913</v>
      </c>
      <c r="AR143" s="6" t="s">
        <v>1400</v>
      </c>
      <c r="AS143" s="6">
        <v>0</v>
      </c>
      <c r="AT143" s="6">
        <v>0</v>
      </c>
      <c r="AU143" s="6">
        <v>0</v>
      </c>
      <c r="AV143" s="6">
        <v>0</v>
      </c>
      <c r="AW143" s="6" t="s">
        <v>953</v>
      </c>
      <c r="AX143" s="31">
        <v>1</v>
      </c>
      <c r="AY143" s="31">
        <v>8</v>
      </c>
      <c r="AZ143" s="31">
        <v>0</v>
      </c>
      <c r="BA143" s="12">
        <f t="shared" si="11"/>
        <v>20.166666666666668</v>
      </c>
      <c r="BB143" s="31">
        <v>16</v>
      </c>
      <c r="BC143" s="31">
        <v>0</v>
      </c>
      <c r="BD143" s="31">
        <v>0</v>
      </c>
      <c r="BE143" s="31">
        <v>0</v>
      </c>
      <c r="BF143" s="12">
        <f t="shared" si="12"/>
        <v>0</v>
      </c>
      <c r="BG143" s="6" t="s">
        <v>615</v>
      </c>
      <c r="BH143" s="6" t="s">
        <v>1393</v>
      </c>
      <c r="BI143" s="6">
        <v>0</v>
      </c>
      <c r="BJ143" s="6" t="s">
        <v>609</v>
      </c>
      <c r="BK143" s="6">
        <v>1</v>
      </c>
      <c r="BL143" s="6">
        <v>1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</row>
    <row r="144" spans="1:70" ht="52.8" customHeight="1" x14ac:dyDescent="0.3">
      <c r="A144" s="6">
        <v>557424</v>
      </c>
      <c r="B144" s="6" t="s">
        <v>46</v>
      </c>
      <c r="C144" s="15" t="s">
        <v>329</v>
      </c>
      <c r="D144" s="6" t="s">
        <v>64</v>
      </c>
      <c r="E144" s="6" t="s">
        <v>15</v>
      </c>
      <c r="F144" s="7">
        <v>41858</v>
      </c>
      <c r="G144" s="7">
        <v>42242</v>
      </c>
      <c r="H144" s="8" t="s">
        <v>16</v>
      </c>
      <c r="I144" s="3" t="s">
        <v>17</v>
      </c>
      <c r="J144" s="3" t="s">
        <v>18</v>
      </c>
      <c r="K144" t="s">
        <v>19</v>
      </c>
      <c r="L144" s="6" t="s">
        <v>695</v>
      </c>
      <c r="M144" s="14" t="s">
        <v>724</v>
      </c>
      <c r="N144" s="6" t="s">
        <v>657</v>
      </c>
      <c r="O144" s="6">
        <v>0</v>
      </c>
      <c r="P144" s="6" t="s">
        <v>1364</v>
      </c>
      <c r="Q144" s="35">
        <v>1</v>
      </c>
      <c r="R144" s="35">
        <v>0</v>
      </c>
      <c r="S144" s="35">
        <v>0</v>
      </c>
      <c r="T144" s="35">
        <v>0</v>
      </c>
      <c r="U144" s="35">
        <v>0</v>
      </c>
      <c r="V144" s="35">
        <v>0</v>
      </c>
      <c r="W144" s="35">
        <v>0</v>
      </c>
      <c r="X144" s="6" t="s">
        <v>780</v>
      </c>
      <c r="Y144" s="6">
        <v>1</v>
      </c>
      <c r="Z144" s="6">
        <v>1</v>
      </c>
      <c r="AA144" s="6">
        <v>0</v>
      </c>
      <c r="AB144" s="6">
        <v>0</v>
      </c>
      <c r="AC144" s="6">
        <v>0</v>
      </c>
      <c r="AD144" s="14" t="s">
        <v>21</v>
      </c>
      <c r="AE144" s="13" t="s">
        <v>330</v>
      </c>
      <c r="AF144" s="13" t="s">
        <v>66</v>
      </c>
      <c r="AG144" s="8" t="s">
        <v>1357</v>
      </c>
      <c r="AH144" s="11">
        <v>40327</v>
      </c>
      <c r="AI144" s="10">
        <v>510</v>
      </c>
      <c r="AJ144" s="12">
        <v>130.6</v>
      </c>
      <c r="AK144" s="12">
        <f t="shared" si="10"/>
        <v>25.6078431372549</v>
      </c>
      <c r="AL144" s="12" t="str">
        <f t="shared" si="13"/>
        <v>25% a 50%</v>
      </c>
      <c r="AM144" s="6" t="s">
        <v>954</v>
      </c>
      <c r="AN144" s="6" t="s">
        <v>616</v>
      </c>
      <c r="AO144" s="6" t="s">
        <v>701</v>
      </c>
      <c r="AP144" s="6">
        <v>1</v>
      </c>
      <c r="AQ144" s="6" t="s">
        <v>777</v>
      </c>
      <c r="AR144" s="6" t="s">
        <v>1401</v>
      </c>
      <c r="AS144" s="6">
        <v>0</v>
      </c>
      <c r="AT144" s="6">
        <v>0</v>
      </c>
      <c r="AU144" s="6">
        <v>0</v>
      </c>
      <c r="AV144" s="6">
        <v>0</v>
      </c>
      <c r="AW144" s="6" t="s">
        <v>955</v>
      </c>
      <c r="AX144" s="31">
        <v>0</v>
      </c>
      <c r="AY144" s="31">
        <v>2</v>
      </c>
      <c r="AZ144" s="31">
        <v>0</v>
      </c>
      <c r="BA144" s="12">
        <f t="shared" si="11"/>
        <v>2</v>
      </c>
      <c r="BB144" s="31">
        <v>2</v>
      </c>
      <c r="BC144" s="31">
        <v>0</v>
      </c>
      <c r="BD144" s="31">
        <v>0</v>
      </c>
      <c r="BE144" s="31">
        <v>0</v>
      </c>
      <c r="BF144" s="12">
        <f t="shared" si="12"/>
        <v>0</v>
      </c>
      <c r="BG144" s="6" t="s">
        <v>636</v>
      </c>
      <c r="BH144" s="6" t="s">
        <v>1394</v>
      </c>
      <c r="BI144" s="6">
        <v>1</v>
      </c>
      <c r="BJ144" s="6" t="s">
        <v>609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</row>
    <row r="145" spans="1:70" ht="52.8" customHeight="1" x14ac:dyDescent="0.3">
      <c r="A145" s="6">
        <v>692978</v>
      </c>
      <c r="B145" s="6" t="s">
        <v>46</v>
      </c>
      <c r="C145" s="15" t="s">
        <v>331</v>
      </c>
      <c r="D145" s="6" t="s">
        <v>14</v>
      </c>
      <c r="E145" s="6" t="s">
        <v>15</v>
      </c>
      <c r="F145" s="7">
        <v>42123</v>
      </c>
      <c r="G145" s="7">
        <v>42142</v>
      </c>
      <c r="H145" s="8" t="s">
        <v>111</v>
      </c>
      <c r="I145" s="3" t="s">
        <v>48</v>
      </c>
      <c r="J145" s="3" t="s">
        <v>18</v>
      </c>
      <c r="K145" t="s">
        <v>19</v>
      </c>
      <c r="L145" s="6" t="s">
        <v>696</v>
      </c>
      <c r="M145" s="14" t="s">
        <v>1006</v>
      </c>
      <c r="N145" s="6" t="s">
        <v>657</v>
      </c>
      <c r="O145" s="6">
        <v>0</v>
      </c>
      <c r="P145" s="6" t="s">
        <v>698</v>
      </c>
      <c r="Q145" s="35">
        <v>1</v>
      </c>
      <c r="R145" s="35">
        <v>1</v>
      </c>
      <c r="S145" s="35">
        <v>0</v>
      </c>
      <c r="T145" s="35">
        <v>0</v>
      </c>
      <c r="U145" s="35">
        <v>0</v>
      </c>
      <c r="V145" s="35">
        <v>0</v>
      </c>
      <c r="W145" s="35">
        <v>0</v>
      </c>
      <c r="X145" s="6" t="s">
        <v>657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14" t="s">
        <v>21</v>
      </c>
      <c r="AE145" s="13" t="s">
        <v>332</v>
      </c>
      <c r="AF145" s="13" t="s">
        <v>23</v>
      </c>
      <c r="AG145" s="8" t="s">
        <v>1357</v>
      </c>
      <c r="AH145" s="11">
        <v>40259</v>
      </c>
      <c r="AI145" s="10">
        <v>510</v>
      </c>
      <c r="AJ145" s="12">
        <v>350</v>
      </c>
      <c r="AK145" s="12">
        <f t="shared" si="10"/>
        <v>68.627450980392155</v>
      </c>
      <c r="AL145" s="12" t="str">
        <f t="shared" si="13"/>
        <v>Acima de 50%</v>
      </c>
      <c r="AM145" s="6" t="s">
        <v>956</v>
      </c>
      <c r="AN145" s="6" t="s">
        <v>1455</v>
      </c>
      <c r="AO145" s="6" t="s">
        <v>699</v>
      </c>
      <c r="AP145" s="6">
        <v>0</v>
      </c>
      <c r="AQ145" s="6" t="s">
        <v>634</v>
      </c>
      <c r="AR145" s="6" t="s">
        <v>1400</v>
      </c>
      <c r="AS145" s="6">
        <v>1</v>
      </c>
      <c r="AT145" s="6">
        <v>0</v>
      </c>
      <c r="AU145" s="6">
        <v>0</v>
      </c>
      <c r="AV145" s="6">
        <v>0</v>
      </c>
      <c r="AW145" s="6" t="s">
        <v>1380</v>
      </c>
      <c r="AX145" s="31">
        <v>2</v>
      </c>
      <c r="AY145" s="31">
        <v>4</v>
      </c>
      <c r="AZ145" s="31">
        <v>0</v>
      </c>
      <c r="BA145" s="12">
        <f t="shared" si="11"/>
        <v>28.333333333333332</v>
      </c>
      <c r="BB145" s="31">
        <v>11</v>
      </c>
      <c r="BC145" s="31">
        <v>0</v>
      </c>
      <c r="BD145" s="31">
        <v>0</v>
      </c>
      <c r="BE145" s="31">
        <v>0</v>
      </c>
      <c r="BF145" s="12">
        <f t="shared" si="12"/>
        <v>0</v>
      </c>
      <c r="BG145" s="6" t="s">
        <v>1379</v>
      </c>
      <c r="BH145" s="6" t="s">
        <v>1393</v>
      </c>
      <c r="BI145" s="6">
        <v>0</v>
      </c>
      <c r="BJ145" s="6" t="s">
        <v>609</v>
      </c>
      <c r="BK145" s="6">
        <v>0</v>
      </c>
      <c r="BL145" s="6">
        <v>1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</row>
    <row r="146" spans="1:70" ht="52.8" customHeight="1" x14ac:dyDescent="0.3">
      <c r="A146" s="6">
        <v>1483820</v>
      </c>
      <c r="B146" s="6" t="s">
        <v>26</v>
      </c>
      <c r="C146" s="15" t="s">
        <v>333</v>
      </c>
      <c r="D146" s="6" t="s">
        <v>64</v>
      </c>
      <c r="E146" s="6" t="s">
        <v>15</v>
      </c>
      <c r="F146" s="7">
        <v>41912</v>
      </c>
      <c r="G146" s="7">
        <v>42487</v>
      </c>
      <c r="H146" s="8" t="s">
        <v>29</v>
      </c>
      <c r="I146" s="3" t="s">
        <v>48</v>
      </c>
      <c r="J146" s="3" t="s">
        <v>18</v>
      </c>
      <c r="K146" t="s">
        <v>19</v>
      </c>
      <c r="L146" s="6" t="s">
        <v>695</v>
      </c>
      <c r="M146" s="14" t="s">
        <v>626</v>
      </c>
      <c r="N146" s="6" t="s">
        <v>657</v>
      </c>
      <c r="O146" s="6">
        <v>0</v>
      </c>
      <c r="P146" s="6" t="s">
        <v>958</v>
      </c>
      <c r="Q146" s="35">
        <v>1</v>
      </c>
      <c r="R146" s="35">
        <v>1</v>
      </c>
      <c r="S146" s="35">
        <v>0</v>
      </c>
      <c r="T146" s="35">
        <v>1</v>
      </c>
      <c r="U146" s="35">
        <v>0</v>
      </c>
      <c r="V146" s="35">
        <v>0</v>
      </c>
      <c r="W146" s="35">
        <v>0</v>
      </c>
      <c r="X146" s="6" t="s">
        <v>657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14" t="s">
        <v>21</v>
      </c>
      <c r="AE146" s="13" t="s">
        <v>334</v>
      </c>
      <c r="AF146" s="13" t="s">
        <v>66</v>
      </c>
      <c r="AG146" s="8" t="s">
        <v>1357</v>
      </c>
      <c r="AH146" s="11">
        <v>41504</v>
      </c>
      <c r="AI146" s="10">
        <v>678</v>
      </c>
      <c r="AJ146" s="12">
        <v>95</v>
      </c>
      <c r="AK146" s="12">
        <f t="shared" si="10"/>
        <v>14.011799410029498</v>
      </c>
      <c r="AL146" s="12" t="str">
        <f t="shared" si="13"/>
        <v>10% a 25%</v>
      </c>
      <c r="AM146" s="6" t="s">
        <v>737</v>
      </c>
      <c r="AN146" s="6" t="s">
        <v>1454</v>
      </c>
      <c r="AO146" s="6" t="s">
        <v>699</v>
      </c>
      <c r="AP146" s="6">
        <v>0</v>
      </c>
      <c r="AQ146" s="6" t="s">
        <v>682</v>
      </c>
      <c r="AR146" s="6" t="s">
        <v>1400</v>
      </c>
      <c r="AS146" s="6">
        <v>1</v>
      </c>
      <c r="AT146" s="6">
        <v>0</v>
      </c>
      <c r="AU146" s="6">
        <v>0</v>
      </c>
      <c r="AV146" s="6">
        <v>0</v>
      </c>
      <c r="AW146" s="6" t="s">
        <v>957</v>
      </c>
      <c r="AX146" s="31">
        <v>2</v>
      </c>
      <c r="AY146" s="31">
        <v>4</v>
      </c>
      <c r="AZ146" s="31">
        <v>0</v>
      </c>
      <c r="BA146" s="12">
        <f t="shared" si="11"/>
        <v>28.333333333333332</v>
      </c>
      <c r="BB146" s="31">
        <v>12</v>
      </c>
      <c r="BC146" s="31">
        <v>0</v>
      </c>
      <c r="BD146" s="31">
        <v>0</v>
      </c>
      <c r="BE146" s="31">
        <v>0</v>
      </c>
      <c r="BF146" s="12">
        <f t="shared" si="12"/>
        <v>0</v>
      </c>
      <c r="BG146" s="6" t="s">
        <v>615</v>
      </c>
      <c r="BH146" s="6" t="s">
        <v>1393</v>
      </c>
      <c r="BI146" s="6">
        <v>0</v>
      </c>
      <c r="BJ146" s="6" t="s">
        <v>609</v>
      </c>
      <c r="BK146" s="6">
        <v>1</v>
      </c>
      <c r="BL146" s="6">
        <v>1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</row>
    <row r="147" spans="1:70" ht="52.8" customHeight="1" x14ac:dyDescent="0.3">
      <c r="A147" s="6">
        <v>601849</v>
      </c>
      <c r="B147" s="6" t="s">
        <v>46</v>
      </c>
      <c r="C147" s="15" t="s">
        <v>335</v>
      </c>
      <c r="D147" s="6" t="s">
        <v>55</v>
      </c>
      <c r="E147" s="6" t="s">
        <v>15</v>
      </c>
      <c r="F147" s="7">
        <v>41935</v>
      </c>
      <c r="G147" s="7">
        <v>41970</v>
      </c>
      <c r="H147" s="8" t="s">
        <v>94</v>
      </c>
      <c r="I147" s="3" t="s">
        <v>48</v>
      </c>
      <c r="J147" s="3" t="s">
        <v>18</v>
      </c>
      <c r="K147" t="s">
        <v>19</v>
      </c>
      <c r="L147" s="6" t="s">
        <v>695</v>
      </c>
      <c r="M147" s="14" t="s">
        <v>626</v>
      </c>
      <c r="N147" s="6" t="s">
        <v>657</v>
      </c>
      <c r="O147" s="6">
        <v>0</v>
      </c>
      <c r="P147" s="6" t="s">
        <v>713</v>
      </c>
      <c r="Q147" s="35">
        <v>1</v>
      </c>
      <c r="R147" s="35">
        <v>0</v>
      </c>
      <c r="S147" s="35">
        <v>0</v>
      </c>
      <c r="T147" s="35">
        <v>1</v>
      </c>
      <c r="U147" s="35">
        <v>0</v>
      </c>
      <c r="V147" s="35">
        <v>0</v>
      </c>
      <c r="W147" s="35">
        <v>0</v>
      </c>
      <c r="X147" s="6" t="s">
        <v>657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14" t="s">
        <v>21</v>
      </c>
      <c r="AE147" s="13" t="s">
        <v>134</v>
      </c>
      <c r="AF147" s="13" t="s">
        <v>959</v>
      </c>
      <c r="AG147" s="8" t="s">
        <v>1357</v>
      </c>
      <c r="AH147" s="11">
        <v>38851</v>
      </c>
      <c r="AI147" s="10">
        <v>350</v>
      </c>
      <c r="AJ147" s="12">
        <v>96</v>
      </c>
      <c r="AK147" s="12">
        <f t="shared" si="10"/>
        <v>27.428571428571431</v>
      </c>
      <c r="AL147" s="12" t="str">
        <f t="shared" si="13"/>
        <v>25% a 50%</v>
      </c>
      <c r="AM147" s="6" t="s">
        <v>747</v>
      </c>
      <c r="AN147" s="6" t="s">
        <v>1454</v>
      </c>
      <c r="AO147" s="6" t="s">
        <v>699</v>
      </c>
      <c r="AP147" s="6">
        <v>0</v>
      </c>
      <c r="AQ147" s="6" t="s">
        <v>682</v>
      </c>
      <c r="AR147" s="6" t="s">
        <v>1400</v>
      </c>
      <c r="AS147" s="6">
        <v>1</v>
      </c>
      <c r="AT147" s="6">
        <v>0</v>
      </c>
      <c r="AU147" s="6">
        <v>0</v>
      </c>
      <c r="AV147" s="6">
        <v>0</v>
      </c>
      <c r="AW147" s="6" t="s">
        <v>652</v>
      </c>
      <c r="AX147" s="31">
        <v>2</v>
      </c>
      <c r="AY147" s="31">
        <v>0</v>
      </c>
      <c r="AZ147" s="31">
        <v>0</v>
      </c>
      <c r="BA147" s="12">
        <f t="shared" si="11"/>
        <v>24.333333333333332</v>
      </c>
      <c r="BB147" s="31">
        <v>10</v>
      </c>
      <c r="BC147" s="31">
        <v>0</v>
      </c>
      <c r="BD147" s="31">
        <v>0</v>
      </c>
      <c r="BE147" s="31">
        <v>0</v>
      </c>
      <c r="BF147" s="12">
        <f t="shared" si="12"/>
        <v>0</v>
      </c>
      <c r="BG147" s="6" t="s">
        <v>636</v>
      </c>
      <c r="BH147" s="6" t="s">
        <v>1394</v>
      </c>
      <c r="BI147" s="6">
        <v>1</v>
      </c>
      <c r="BJ147" s="6" t="s">
        <v>609</v>
      </c>
      <c r="BK147" s="6">
        <v>0</v>
      </c>
      <c r="BL147" s="6">
        <v>0</v>
      </c>
      <c r="BM147" s="6">
        <v>0</v>
      </c>
      <c r="BN147" s="6">
        <v>1</v>
      </c>
      <c r="BO147" s="6">
        <v>0</v>
      </c>
      <c r="BP147" s="6">
        <v>0</v>
      </c>
      <c r="BQ147" s="6">
        <v>0</v>
      </c>
      <c r="BR147" s="6">
        <v>0</v>
      </c>
    </row>
    <row r="148" spans="1:70" ht="52.8" customHeight="1" x14ac:dyDescent="0.3">
      <c r="A148" s="6">
        <v>339479</v>
      </c>
      <c r="B148" s="6" t="s">
        <v>24</v>
      </c>
      <c r="C148" s="15" t="s">
        <v>336</v>
      </c>
      <c r="D148" s="6" t="s">
        <v>14</v>
      </c>
      <c r="E148" s="6" t="s">
        <v>15</v>
      </c>
      <c r="F148" s="7">
        <v>42293</v>
      </c>
      <c r="G148" s="7">
        <v>42444</v>
      </c>
      <c r="H148" s="8" t="s">
        <v>42</v>
      </c>
      <c r="I148" s="3" t="s">
        <v>48</v>
      </c>
      <c r="J148" s="3" t="s">
        <v>18</v>
      </c>
      <c r="K148" t="s">
        <v>19</v>
      </c>
      <c r="L148" s="6" t="s">
        <v>696</v>
      </c>
      <c r="M148" s="14" t="s">
        <v>35</v>
      </c>
      <c r="N148" s="6" t="s">
        <v>657</v>
      </c>
      <c r="O148" s="6">
        <v>0</v>
      </c>
      <c r="P148" s="6" t="s">
        <v>729</v>
      </c>
      <c r="Q148" s="35">
        <v>0</v>
      </c>
      <c r="R148" s="35">
        <v>0</v>
      </c>
      <c r="S148" s="35">
        <v>0</v>
      </c>
      <c r="T148" s="35">
        <v>1</v>
      </c>
      <c r="U148" s="35">
        <v>0</v>
      </c>
      <c r="V148" s="35">
        <v>0</v>
      </c>
      <c r="W148" s="35">
        <v>0</v>
      </c>
      <c r="X148" s="6" t="s">
        <v>801</v>
      </c>
      <c r="Y148" s="6">
        <v>1</v>
      </c>
      <c r="Z148" s="6">
        <v>0</v>
      </c>
      <c r="AA148" s="6">
        <v>0</v>
      </c>
      <c r="AB148" s="6">
        <v>1</v>
      </c>
      <c r="AC148" s="6">
        <v>0</v>
      </c>
      <c r="AD148" s="14" t="s">
        <v>43</v>
      </c>
      <c r="AE148" s="13" t="s">
        <v>337</v>
      </c>
      <c r="AF148" s="13" t="s">
        <v>23</v>
      </c>
      <c r="AG148" s="8" t="s">
        <v>1357</v>
      </c>
      <c r="AH148" s="11">
        <v>41970</v>
      </c>
      <c r="AI148" s="10">
        <v>724</v>
      </c>
      <c r="AJ148" s="12">
        <v>60</v>
      </c>
      <c r="AK148" s="12">
        <f t="shared" si="10"/>
        <v>8.2872928176795568</v>
      </c>
      <c r="AL148" s="12" t="str">
        <f t="shared" si="13"/>
        <v>Até 10%</v>
      </c>
      <c r="AM148" s="6" t="s">
        <v>960</v>
      </c>
      <c r="AN148" s="6" t="s">
        <v>1454</v>
      </c>
      <c r="AO148" s="6" t="s">
        <v>699</v>
      </c>
      <c r="AP148" s="6">
        <v>0</v>
      </c>
      <c r="AQ148" s="6" t="s">
        <v>1416</v>
      </c>
      <c r="AR148" s="6" t="s">
        <v>1400</v>
      </c>
      <c r="AS148" s="6">
        <v>0</v>
      </c>
      <c r="AT148" s="6">
        <v>0</v>
      </c>
      <c r="AU148" s="6">
        <v>0</v>
      </c>
      <c r="AV148" s="6">
        <v>2</v>
      </c>
      <c r="AW148" s="6">
        <v>0</v>
      </c>
      <c r="AX148" s="31">
        <v>0</v>
      </c>
      <c r="AY148" s="31">
        <v>0</v>
      </c>
      <c r="AZ148" s="31">
        <v>0</v>
      </c>
      <c r="BA148" s="12">
        <f t="shared" si="11"/>
        <v>0</v>
      </c>
      <c r="BB148" s="31">
        <v>0</v>
      </c>
      <c r="BC148" s="31">
        <v>0</v>
      </c>
      <c r="BD148" s="31">
        <v>0</v>
      </c>
      <c r="BE148" s="31">
        <v>0</v>
      </c>
      <c r="BF148" s="12">
        <f t="shared" si="12"/>
        <v>0</v>
      </c>
      <c r="BG148" s="6">
        <v>0</v>
      </c>
      <c r="BH148" s="6">
        <v>0</v>
      </c>
      <c r="BI148" s="6">
        <v>0</v>
      </c>
      <c r="BJ148" s="6" t="s">
        <v>620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</row>
    <row r="149" spans="1:70" ht="52.8" customHeight="1" x14ac:dyDescent="0.3">
      <c r="A149" s="6">
        <v>327347</v>
      </c>
      <c r="B149" s="6" t="s">
        <v>24</v>
      </c>
      <c r="C149" s="15" t="s">
        <v>338</v>
      </c>
      <c r="D149" s="6" t="s">
        <v>14</v>
      </c>
      <c r="E149" s="6" t="s">
        <v>15</v>
      </c>
      <c r="F149" s="7">
        <v>42173</v>
      </c>
      <c r="G149" s="7">
        <v>42767</v>
      </c>
      <c r="H149" s="8" t="s">
        <v>52</v>
      </c>
      <c r="I149" s="3" t="s">
        <v>48</v>
      </c>
      <c r="J149" s="3" t="s">
        <v>18</v>
      </c>
      <c r="K149" t="s">
        <v>19</v>
      </c>
      <c r="L149" s="6" t="s">
        <v>695</v>
      </c>
      <c r="M149" s="14" t="s">
        <v>35</v>
      </c>
      <c r="N149" s="6" t="s">
        <v>657</v>
      </c>
      <c r="O149" s="6">
        <v>0</v>
      </c>
      <c r="P149" s="6" t="s">
        <v>962</v>
      </c>
      <c r="Q149" s="35">
        <v>1</v>
      </c>
      <c r="R149" s="35">
        <v>0</v>
      </c>
      <c r="S149" s="35">
        <v>1</v>
      </c>
      <c r="T149" s="35">
        <v>0</v>
      </c>
      <c r="U149" s="35">
        <v>0</v>
      </c>
      <c r="V149" s="35">
        <v>0</v>
      </c>
      <c r="W149" s="35">
        <v>0</v>
      </c>
      <c r="X149" s="6" t="s">
        <v>801</v>
      </c>
      <c r="Y149" s="6">
        <v>1</v>
      </c>
      <c r="Z149" s="6">
        <v>0</v>
      </c>
      <c r="AA149" s="6">
        <v>0</v>
      </c>
      <c r="AB149" s="6">
        <v>1</v>
      </c>
      <c r="AC149" s="6">
        <v>0</v>
      </c>
      <c r="AD149" s="14" t="s">
        <v>21</v>
      </c>
      <c r="AE149" s="13" t="s">
        <v>339</v>
      </c>
      <c r="AF149" s="13" t="s">
        <v>23</v>
      </c>
      <c r="AG149" s="8" t="s">
        <v>1357</v>
      </c>
      <c r="AH149" s="11">
        <v>41128</v>
      </c>
      <c r="AI149" s="10">
        <v>622</v>
      </c>
      <c r="AJ149" s="12">
        <v>0</v>
      </c>
      <c r="AK149" s="12">
        <f t="shared" si="10"/>
        <v>0</v>
      </c>
      <c r="AL149" s="12" t="str">
        <f t="shared" si="13"/>
        <v>Não Informado</v>
      </c>
      <c r="AM149" s="6" t="s">
        <v>961</v>
      </c>
      <c r="AN149" s="6" t="s">
        <v>1455</v>
      </c>
      <c r="AO149" s="6" t="s">
        <v>699</v>
      </c>
      <c r="AP149" s="6">
        <v>0</v>
      </c>
      <c r="AQ149" s="6" t="s">
        <v>625</v>
      </c>
      <c r="AR149" s="6" t="s">
        <v>1400</v>
      </c>
      <c r="AS149" s="6">
        <v>1</v>
      </c>
      <c r="AT149" s="6">
        <v>0</v>
      </c>
      <c r="AU149" s="6">
        <v>0</v>
      </c>
      <c r="AV149" s="6">
        <v>0</v>
      </c>
      <c r="AW149" s="6" t="s">
        <v>652</v>
      </c>
      <c r="AX149" s="31">
        <v>2</v>
      </c>
      <c r="AY149" s="31">
        <v>0</v>
      </c>
      <c r="AZ149" s="31">
        <v>0</v>
      </c>
      <c r="BA149" s="12">
        <f t="shared" si="11"/>
        <v>24.333333333333332</v>
      </c>
      <c r="BB149" s="31">
        <v>10</v>
      </c>
      <c r="BC149" s="31">
        <v>0</v>
      </c>
      <c r="BD149" s="31">
        <v>0</v>
      </c>
      <c r="BE149" s="31">
        <v>0</v>
      </c>
      <c r="BF149" s="12">
        <f t="shared" si="12"/>
        <v>0</v>
      </c>
      <c r="BG149" s="6" t="s">
        <v>615</v>
      </c>
      <c r="BH149" s="6" t="s">
        <v>1393</v>
      </c>
      <c r="BI149" s="6">
        <v>0</v>
      </c>
      <c r="BJ149" s="6" t="s">
        <v>609</v>
      </c>
      <c r="BK149" s="6">
        <v>1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</row>
    <row r="150" spans="1:70" ht="52.8" customHeight="1" x14ac:dyDescent="0.3">
      <c r="A150" s="6">
        <v>329439</v>
      </c>
      <c r="B150" s="6" t="s">
        <v>24</v>
      </c>
      <c r="C150" s="15" t="s">
        <v>340</v>
      </c>
      <c r="D150" s="6" t="s">
        <v>341</v>
      </c>
      <c r="E150" s="6" t="s">
        <v>15</v>
      </c>
      <c r="F150" s="7">
        <v>42193</v>
      </c>
      <c r="G150" s="7">
        <v>42250</v>
      </c>
      <c r="H150" s="8" t="s">
        <v>101</v>
      </c>
      <c r="I150" s="3" t="s">
        <v>17</v>
      </c>
      <c r="J150" s="3" t="s">
        <v>18</v>
      </c>
      <c r="K150" t="s">
        <v>19</v>
      </c>
      <c r="L150" s="6" t="s">
        <v>695</v>
      </c>
      <c r="M150" s="14" t="s">
        <v>892</v>
      </c>
      <c r="N150" s="6" t="s">
        <v>703</v>
      </c>
      <c r="O150" s="6">
        <v>1</v>
      </c>
      <c r="P150" s="6" t="s">
        <v>847</v>
      </c>
      <c r="Q150" s="35">
        <v>1</v>
      </c>
      <c r="R150" s="35">
        <v>0</v>
      </c>
      <c r="S150" s="35">
        <v>0</v>
      </c>
      <c r="T150" s="35">
        <v>0</v>
      </c>
      <c r="U150" s="35">
        <v>0</v>
      </c>
      <c r="V150" s="35">
        <v>1</v>
      </c>
      <c r="W150" s="35">
        <v>0</v>
      </c>
      <c r="X150" s="6" t="s">
        <v>761</v>
      </c>
      <c r="Y150" s="6">
        <v>1</v>
      </c>
      <c r="Z150" s="6">
        <v>1</v>
      </c>
      <c r="AA150" s="6">
        <v>0</v>
      </c>
      <c r="AB150" s="6">
        <v>1</v>
      </c>
      <c r="AC150" s="6">
        <v>0</v>
      </c>
      <c r="AD150" s="14" t="s">
        <v>43</v>
      </c>
      <c r="AE150" s="13" t="s">
        <v>342</v>
      </c>
      <c r="AF150" s="13" t="s">
        <v>963</v>
      </c>
      <c r="AG150" s="8" t="s">
        <v>1349</v>
      </c>
      <c r="AH150" s="11">
        <v>40799</v>
      </c>
      <c r="AI150" s="10">
        <v>545</v>
      </c>
      <c r="AJ150" s="12">
        <v>7</v>
      </c>
      <c r="AK150" s="12">
        <f t="shared" si="10"/>
        <v>1.2844036697247707</v>
      </c>
      <c r="AL150" s="12" t="str">
        <f t="shared" si="13"/>
        <v>Até 10%</v>
      </c>
      <c r="AM150" s="6" t="s">
        <v>964</v>
      </c>
      <c r="AN150" s="6" t="s">
        <v>1452</v>
      </c>
      <c r="AO150" s="6" t="s">
        <v>699</v>
      </c>
      <c r="AP150" s="6">
        <v>0</v>
      </c>
      <c r="AQ150" s="6" t="s">
        <v>613</v>
      </c>
      <c r="AR150" s="6" t="s">
        <v>1399</v>
      </c>
      <c r="AS150" s="6">
        <v>1</v>
      </c>
      <c r="AT150" s="6">
        <v>0</v>
      </c>
      <c r="AU150" s="6">
        <v>0</v>
      </c>
      <c r="AV150" s="6">
        <v>0</v>
      </c>
      <c r="AW150" s="6" t="s">
        <v>686</v>
      </c>
      <c r="AX150" s="31">
        <v>1</v>
      </c>
      <c r="AY150" s="31">
        <v>0</v>
      </c>
      <c r="AZ150" s="31">
        <v>0</v>
      </c>
      <c r="BA150" s="12">
        <f t="shared" si="11"/>
        <v>12.166666666666666</v>
      </c>
      <c r="BB150" s="31">
        <v>10</v>
      </c>
      <c r="BC150" s="31">
        <v>0</v>
      </c>
      <c r="BD150" s="31">
        <v>0</v>
      </c>
      <c r="BE150" s="31">
        <v>0</v>
      </c>
      <c r="BF150" s="12">
        <f t="shared" si="12"/>
        <v>0</v>
      </c>
      <c r="BG150" s="6" t="s">
        <v>615</v>
      </c>
      <c r="BH150" s="6" t="s">
        <v>1393</v>
      </c>
      <c r="BI150" s="6">
        <v>0</v>
      </c>
      <c r="BJ150" s="6" t="s">
        <v>609</v>
      </c>
      <c r="BK150" s="6">
        <v>0</v>
      </c>
      <c r="BL150" s="6">
        <v>1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</row>
    <row r="151" spans="1:70" ht="52.8" customHeight="1" x14ac:dyDescent="0.3">
      <c r="A151" s="6">
        <v>611063</v>
      </c>
      <c r="B151" s="6" t="s">
        <v>46</v>
      </c>
      <c r="C151" s="15" t="s">
        <v>343</v>
      </c>
      <c r="D151" s="6" t="s">
        <v>64</v>
      </c>
      <c r="E151" s="6" t="s">
        <v>15</v>
      </c>
      <c r="F151" s="7">
        <v>41953</v>
      </c>
      <c r="G151" s="7">
        <v>42082</v>
      </c>
      <c r="H151" s="8" t="s">
        <v>16</v>
      </c>
      <c r="I151" s="3" t="s">
        <v>48</v>
      </c>
      <c r="J151" s="3" t="s">
        <v>18</v>
      </c>
      <c r="K151" t="s">
        <v>19</v>
      </c>
      <c r="L151" s="6" t="s">
        <v>695</v>
      </c>
      <c r="M151" s="14" t="s">
        <v>724</v>
      </c>
      <c r="N151" s="6" t="s">
        <v>657</v>
      </c>
      <c r="O151" s="6">
        <v>0</v>
      </c>
      <c r="P151" s="6" t="s">
        <v>713</v>
      </c>
      <c r="Q151" s="35">
        <v>1</v>
      </c>
      <c r="R151" s="35">
        <v>0</v>
      </c>
      <c r="S151" s="35">
        <v>0</v>
      </c>
      <c r="T151" s="35">
        <v>1</v>
      </c>
      <c r="U151" s="35">
        <v>0</v>
      </c>
      <c r="V151" s="35">
        <v>0</v>
      </c>
      <c r="W151" s="35">
        <v>0</v>
      </c>
      <c r="X151" s="6" t="s">
        <v>801</v>
      </c>
      <c r="Y151" s="6">
        <v>1</v>
      </c>
      <c r="Z151" s="6">
        <v>0</v>
      </c>
      <c r="AA151" s="6">
        <v>0</v>
      </c>
      <c r="AB151" s="6">
        <v>1</v>
      </c>
      <c r="AC151" s="6">
        <v>0</v>
      </c>
      <c r="AD151" s="14" t="s">
        <v>21</v>
      </c>
      <c r="AE151" s="13" t="s">
        <v>344</v>
      </c>
      <c r="AF151" s="13" t="s">
        <v>66</v>
      </c>
      <c r="AG151" s="8" t="s">
        <v>1357</v>
      </c>
      <c r="AH151" s="11">
        <v>41389</v>
      </c>
      <c r="AI151" s="10">
        <v>678</v>
      </c>
      <c r="AJ151" s="12">
        <v>70</v>
      </c>
      <c r="AK151" s="12">
        <f t="shared" si="10"/>
        <v>10.32448377581121</v>
      </c>
      <c r="AL151" s="12" t="str">
        <f t="shared" si="13"/>
        <v>10% a 25%</v>
      </c>
      <c r="AM151" s="6" t="s">
        <v>965</v>
      </c>
      <c r="AN151" s="6" t="s">
        <v>1455</v>
      </c>
      <c r="AO151" s="6" t="s">
        <v>701</v>
      </c>
      <c r="AP151" s="6">
        <v>1</v>
      </c>
      <c r="AQ151" s="6" t="s">
        <v>667</v>
      </c>
      <c r="AR151" s="6" t="s">
        <v>1400</v>
      </c>
      <c r="AS151" s="6">
        <v>0</v>
      </c>
      <c r="AT151" s="6">
        <v>0</v>
      </c>
      <c r="AU151" s="6">
        <v>0</v>
      </c>
      <c r="AV151" s="6">
        <v>0</v>
      </c>
      <c r="AW151" s="6" t="s">
        <v>966</v>
      </c>
      <c r="AX151" s="31">
        <v>1</v>
      </c>
      <c r="AY151" s="31">
        <v>8</v>
      </c>
      <c r="AZ151" s="31">
        <v>0</v>
      </c>
      <c r="BA151" s="12">
        <f t="shared" si="11"/>
        <v>20.166666666666668</v>
      </c>
      <c r="BB151" s="31">
        <v>12</v>
      </c>
      <c r="BC151" s="31">
        <v>0</v>
      </c>
      <c r="BD151" s="31">
        <v>0</v>
      </c>
      <c r="BE151" s="31">
        <v>0</v>
      </c>
      <c r="BF151" s="12">
        <f t="shared" si="12"/>
        <v>0</v>
      </c>
      <c r="BG151" s="6" t="s">
        <v>615</v>
      </c>
      <c r="BH151" s="6" t="s">
        <v>1393</v>
      </c>
      <c r="BI151" s="6">
        <v>0</v>
      </c>
      <c r="BJ151" s="6" t="s">
        <v>609</v>
      </c>
      <c r="BK151" s="6">
        <v>1</v>
      </c>
      <c r="BL151" s="6">
        <v>1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</row>
    <row r="152" spans="1:70" ht="52.8" customHeight="1" x14ac:dyDescent="0.3">
      <c r="A152" s="6">
        <v>309905</v>
      </c>
      <c r="B152" s="6" t="s">
        <v>24</v>
      </c>
      <c r="C152" s="15" t="s">
        <v>345</v>
      </c>
      <c r="D152" s="6" t="s">
        <v>14</v>
      </c>
      <c r="E152" s="6" t="s">
        <v>15</v>
      </c>
      <c r="F152" s="7">
        <v>41961</v>
      </c>
      <c r="G152" s="7">
        <v>42059</v>
      </c>
      <c r="H152" s="8" t="s">
        <v>16</v>
      </c>
      <c r="I152" s="3" t="s">
        <v>48</v>
      </c>
      <c r="J152" s="3" t="s">
        <v>18</v>
      </c>
      <c r="K152" t="s">
        <v>19</v>
      </c>
      <c r="L152" s="6" t="s">
        <v>695</v>
      </c>
      <c r="M152" s="14" t="s">
        <v>35</v>
      </c>
      <c r="N152" s="6" t="s">
        <v>657</v>
      </c>
      <c r="O152" s="6">
        <v>0</v>
      </c>
      <c r="P152" s="6" t="s">
        <v>967</v>
      </c>
      <c r="Q152" s="35">
        <v>0</v>
      </c>
      <c r="R152" s="35">
        <v>1</v>
      </c>
      <c r="S152" s="35">
        <v>0</v>
      </c>
      <c r="T152" s="35">
        <v>1</v>
      </c>
      <c r="U152" s="35">
        <v>0</v>
      </c>
      <c r="V152" s="35">
        <v>0</v>
      </c>
      <c r="W152" s="35">
        <v>0</v>
      </c>
      <c r="X152" s="6" t="s">
        <v>801</v>
      </c>
      <c r="Y152" s="6">
        <v>1</v>
      </c>
      <c r="Z152" s="6">
        <v>0</v>
      </c>
      <c r="AA152" s="6">
        <v>0</v>
      </c>
      <c r="AB152" s="6">
        <v>1</v>
      </c>
      <c r="AC152" s="6">
        <v>0</v>
      </c>
      <c r="AD152" s="14" t="s">
        <v>43</v>
      </c>
      <c r="AE152" s="13" t="s">
        <v>346</v>
      </c>
      <c r="AF152" s="13" t="s">
        <v>23</v>
      </c>
      <c r="AG152" s="8" t="s">
        <v>1357</v>
      </c>
      <c r="AH152" s="11">
        <v>41041</v>
      </c>
      <c r="AI152" s="10">
        <v>622</v>
      </c>
      <c r="AJ152" s="12">
        <v>61</v>
      </c>
      <c r="AK152" s="12">
        <f t="shared" si="10"/>
        <v>9.8070739549839239</v>
      </c>
      <c r="AL152" s="12" t="str">
        <f t="shared" si="13"/>
        <v>Até 10%</v>
      </c>
      <c r="AM152" s="6" t="s">
        <v>969</v>
      </c>
      <c r="AN152" s="6" t="s">
        <v>1454</v>
      </c>
      <c r="AO152" s="6" t="s">
        <v>699</v>
      </c>
      <c r="AP152" s="6">
        <v>0</v>
      </c>
      <c r="AQ152" s="6" t="s">
        <v>667</v>
      </c>
      <c r="AR152" s="6" t="s">
        <v>1400</v>
      </c>
      <c r="AS152" s="6">
        <v>0</v>
      </c>
      <c r="AT152" s="6">
        <v>0</v>
      </c>
      <c r="AU152" s="6">
        <v>0</v>
      </c>
      <c r="AV152" s="6">
        <v>0</v>
      </c>
      <c r="AW152" s="6" t="s">
        <v>968</v>
      </c>
      <c r="AX152" s="31">
        <v>1</v>
      </c>
      <c r="AY152" s="31">
        <v>6</v>
      </c>
      <c r="AZ152" s="31">
        <v>20</v>
      </c>
      <c r="BA152" s="12">
        <f t="shared" si="11"/>
        <v>18.833333333333332</v>
      </c>
      <c r="BB152" s="31">
        <v>7</v>
      </c>
      <c r="BC152" s="31">
        <v>0</v>
      </c>
      <c r="BD152" s="31">
        <v>0</v>
      </c>
      <c r="BE152" s="31">
        <v>0</v>
      </c>
      <c r="BF152" s="12">
        <f t="shared" si="12"/>
        <v>0</v>
      </c>
      <c r="BG152" s="6" t="s">
        <v>611</v>
      </c>
      <c r="BH152" s="6" t="s">
        <v>1392</v>
      </c>
      <c r="BI152" s="6">
        <v>0</v>
      </c>
      <c r="BJ152" s="6" t="s">
        <v>609</v>
      </c>
      <c r="BK152" s="6">
        <v>0</v>
      </c>
      <c r="BL152" s="6">
        <v>1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</row>
    <row r="153" spans="1:70" ht="52.8" customHeight="1" x14ac:dyDescent="0.3">
      <c r="A153" s="6">
        <v>345177</v>
      </c>
      <c r="B153" s="6" t="s">
        <v>24</v>
      </c>
      <c r="C153" s="15" t="s">
        <v>347</v>
      </c>
      <c r="D153" s="6" t="s">
        <v>14</v>
      </c>
      <c r="E153" s="6" t="s">
        <v>15</v>
      </c>
      <c r="F153" s="7">
        <v>42352</v>
      </c>
      <c r="G153" s="7">
        <v>42472</v>
      </c>
      <c r="H153" s="8" t="s">
        <v>94</v>
      </c>
      <c r="I153" s="3" t="s">
        <v>48</v>
      </c>
      <c r="J153" s="3" t="s">
        <v>18</v>
      </c>
      <c r="K153" t="s">
        <v>19</v>
      </c>
      <c r="L153" s="6" t="s">
        <v>695</v>
      </c>
      <c r="M153" s="14" t="s">
        <v>35</v>
      </c>
      <c r="N153" s="6" t="s">
        <v>657</v>
      </c>
      <c r="O153" s="6">
        <v>0</v>
      </c>
      <c r="P153" s="6" t="s">
        <v>714</v>
      </c>
      <c r="Q153" s="35">
        <v>1</v>
      </c>
      <c r="R153" s="35">
        <v>0</v>
      </c>
      <c r="S153" s="35">
        <v>0</v>
      </c>
      <c r="T153" s="35">
        <v>0</v>
      </c>
      <c r="U153" s="35">
        <v>0</v>
      </c>
      <c r="V153" s="35">
        <v>0</v>
      </c>
      <c r="W153" s="35">
        <v>0</v>
      </c>
      <c r="X153" s="6" t="s">
        <v>971</v>
      </c>
      <c r="Y153" s="6">
        <v>1</v>
      </c>
      <c r="Z153" s="6">
        <v>0</v>
      </c>
      <c r="AA153" s="6">
        <v>0</v>
      </c>
      <c r="AB153" s="6">
        <v>0</v>
      </c>
      <c r="AC153" s="6">
        <v>1</v>
      </c>
      <c r="AD153" s="14" t="s">
        <v>21</v>
      </c>
      <c r="AE153" s="13" t="s">
        <v>348</v>
      </c>
      <c r="AF153" s="13" t="s">
        <v>23</v>
      </c>
      <c r="AG153" s="8" t="s">
        <v>1357</v>
      </c>
      <c r="AH153" s="11">
        <v>41435</v>
      </c>
      <c r="AI153" s="10">
        <v>678</v>
      </c>
      <c r="AJ153" s="12">
        <v>294.2</v>
      </c>
      <c r="AK153" s="12">
        <f t="shared" si="10"/>
        <v>43.392330383480825</v>
      </c>
      <c r="AL153" s="12" t="str">
        <f t="shared" si="13"/>
        <v>25% a 50%</v>
      </c>
      <c r="AM153" s="6" t="s">
        <v>970</v>
      </c>
      <c r="AN153" s="6" t="s">
        <v>616</v>
      </c>
      <c r="AO153" s="6" t="s">
        <v>701</v>
      </c>
      <c r="AP153" s="6">
        <v>1</v>
      </c>
      <c r="AQ153" s="6" t="s">
        <v>916</v>
      </c>
      <c r="AR153" s="6" t="s">
        <v>1400</v>
      </c>
      <c r="AS153" s="6">
        <v>0</v>
      </c>
      <c r="AT153" s="6">
        <v>0</v>
      </c>
      <c r="AU153" s="6">
        <v>0</v>
      </c>
      <c r="AV153" s="6">
        <v>0</v>
      </c>
      <c r="AW153" s="6" t="s">
        <v>664</v>
      </c>
      <c r="AX153" s="31">
        <v>0</v>
      </c>
      <c r="AY153" s="31">
        <v>8</v>
      </c>
      <c r="AZ153" s="31">
        <v>0</v>
      </c>
      <c r="BA153" s="12">
        <f t="shared" si="11"/>
        <v>8</v>
      </c>
      <c r="BB153" s="31">
        <v>6</v>
      </c>
      <c r="BC153" s="31">
        <v>0</v>
      </c>
      <c r="BD153" s="31">
        <v>0</v>
      </c>
      <c r="BE153" s="31">
        <v>0</v>
      </c>
      <c r="BF153" s="12">
        <f t="shared" si="12"/>
        <v>0</v>
      </c>
      <c r="BG153" s="6" t="s">
        <v>636</v>
      </c>
      <c r="BH153" s="6" t="s">
        <v>1394</v>
      </c>
      <c r="BI153" s="6">
        <v>1</v>
      </c>
      <c r="BJ153" s="6" t="s">
        <v>609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</row>
    <row r="154" spans="1:70" ht="52.8" customHeight="1" x14ac:dyDescent="0.3">
      <c r="A154" s="6">
        <v>310219</v>
      </c>
      <c r="B154" s="6" t="s">
        <v>24</v>
      </c>
      <c r="C154" s="15" t="s">
        <v>349</v>
      </c>
      <c r="D154" s="6" t="s">
        <v>64</v>
      </c>
      <c r="E154" s="6" t="s">
        <v>15</v>
      </c>
      <c r="F154" s="7">
        <v>41963</v>
      </c>
      <c r="G154" s="7">
        <v>42059</v>
      </c>
      <c r="H154" s="8" t="s">
        <v>101</v>
      </c>
      <c r="I154" s="3" t="s">
        <v>17</v>
      </c>
      <c r="J154" s="3" t="s">
        <v>18</v>
      </c>
      <c r="K154" t="s">
        <v>19</v>
      </c>
      <c r="L154" s="6" t="s">
        <v>695</v>
      </c>
      <c r="M154" s="14" t="s">
        <v>972</v>
      </c>
      <c r="N154" s="6" t="s">
        <v>657</v>
      </c>
      <c r="O154" s="6">
        <v>0</v>
      </c>
      <c r="P154" s="6" t="s">
        <v>942</v>
      </c>
      <c r="Q154" s="35">
        <v>0</v>
      </c>
      <c r="R154" s="35">
        <v>0</v>
      </c>
      <c r="S154" s="35">
        <v>1</v>
      </c>
      <c r="T154" s="35">
        <v>0</v>
      </c>
      <c r="U154" s="35">
        <v>0</v>
      </c>
      <c r="V154" s="35">
        <v>0</v>
      </c>
      <c r="W154" s="35">
        <v>0</v>
      </c>
      <c r="X154" s="6" t="s">
        <v>657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14" t="s">
        <v>43</v>
      </c>
      <c r="AE154" s="13" t="s">
        <v>350</v>
      </c>
      <c r="AF154" s="13" t="s">
        <v>194</v>
      </c>
      <c r="AG154" s="8" t="s">
        <v>194</v>
      </c>
      <c r="AH154" s="11">
        <v>39911</v>
      </c>
      <c r="AI154" s="10">
        <v>465</v>
      </c>
      <c r="AJ154" s="12">
        <v>50</v>
      </c>
      <c r="AK154" s="12">
        <f t="shared" si="10"/>
        <v>10.75268817204301</v>
      </c>
      <c r="AL154" s="12" t="str">
        <f t="shared" si="13"/>
        <v>10% a 25%</v>
      </c>
      <c r="AM154" s="6" t="s">
        <v>624</v>
      </c>
      <c r="AN154" s="6" t="s">
        <v>1452</v>
      </c>
      <c r="AO154" s="6" t="s">
        <v>610</v>
      </c>
      <c r="AP154" s="6">
        <v>1</v>
      </c>
      <c r="AQ154" s="6" t="s">
        <v>613</v>
      </c>
      <c r="AR154" s="6" t="s">
        <v>1399</v>
      </c>
      <c r="AS154" s="6">
        <v>1</v>
      </c>
      <c r="AT154" s="6">
        <v>0</v>
      </c>
      <c r="AU154" s="6">
        <v>0</v>
      </c>
      <c r="AV154" s="6">
        <v>0</v>
      </c>
      <c r="AW154" s="6" t="s">
        <v>973</v>
      </c>
      <c r="AX154" s="31">
        <v>2</v>
      </c>
      <c r="AY154" s="31">
        <v>0</v>
      </c>
      <c r="AZ154" s="31">
        <v>0</v>
      </c>
      <c r="BA154" s="12">
        <f t="shared" si="11"/>
        <v>24.333333333333332</v>
      </c>
      <c r="BB154" s="31">
        <v>21</v>
      </c>
      <c r="BC154" s="31">
        <v>0</v>
      </c>
      <c r="BD154" s="31">
        <v>0</v>
      </c>
      <c r="BE154" s="31">
        <v>0</v>
      </c>
      <c r="BF154" s="12">
        <f t="shared" si="12"/>
        <v>0</v>
      </c>
      <c r="BG154" s="6" t="s">
        <v>615</v>
      </c>
      <c r="BH154" s="6" t="s">
        <v>1393</v>
      </c>
      <c r="BI154" s="6">
        <v>0</v>
      </c>
      <c r="BJ154" s="6" t="s">
        <v>609</v>
      </c>
      <c r="BK154" s="6">
        <v>1</v>
      </c>
      <c r="BL154" s="6">
        <v>1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</row>
    <row r="155" spans="1:70" ht="52.8" customHeight="1" x14ac:dyDescent="0.3">
      <c r="A155" s="6">
        <v>54675</v>
      </c>
      <c r="B155" s="6" t="s">
        <v>207</v>
      </c>
      <c r="C155" s="25" t="s">
        <v>1311</v>
      </c>
      <c r="D155" s="6" t="s">
        <v>64</v>
      </c>
      <c r="E155" s="6" t="s">
        <v>15</v>
      </c>
      <c r="F155" s="7">
        <v>41989</v>
      </c>
      <c r="G155" s="7">
        <v>42082</v>
      </c>
      <c r="H155" s="8" t="s">
        <v>59</v>
      </c>
      <c r="I155" s="3" t="s">
        <v>17</v>
      </c>
      <c r="J155" s="3" t="s">
        <v>18</v>
      </c>
      <c r="K155" t="s">
        <v>19</v>
      </c>
      <c r="L155" s="6" t="s">
        <v>696</v>
      </c>
      <c r="M155" s="14" t="s">
        <v>1312</v>
      </c>
      <c r="N155" s="6" t="s">
        <v>703</v>
      </c>
      <c r="O155" s="6">
        <v>1</v>
      </c>
      <c r="P155" s="6" t="s">
        <v>735</v>
      </c>
      <c r="Q155" s="35">
        <v>1</v>
      </c>
      <c r="R155" s="35">
        <v>0</v>
      </c>
      <c r="S155" s="35">
        <v>0</v>
      </c>
      <c r="T155" s="35">
        <v>0</v>
      </c>
      <c r="U155" s="35">
        <v>0</v>
      </c>
      <c r="V155" s="35">
        <v>0</v>
      </c>
      <c r="W155" s="35">
        <v>0</v>
      </c>
      <c r="X155" s="6" t="s">
        <v>766</v>
      </c>
      <c r="Y155" s="6">
        <v>1</v>
      </c>
      <c r="Z155" s="6">
        <v>0</v>
      </c>
      <c r="AA155" s="6">
        <v>0</v>
      </c>
      <c r="AB155" s="6">
        <v>0</v>
      </c>
      <c r="AC155" s="6">
        <v>1</v>
      </c>
      <c r="AD155" s="14" t="s">
        <v>43</v>
      </c>
      <c r="AE155" s="13" t="s">
        <v>351</v>
      </c>
      <c r="AF155" s="13" t="s">
        <v>66</v>
      </c>
      <c r="AG155" s="8" t="s">
        <v>1357</v>
      </c>
      <c r="AH155" s="11">
        <v>40772</v>
      </c>
      <c r="AI155" s="10">
        <v>545</v>
      </c>
      <c r="AJ155" s="12">
        <v>24</v>
      </c>
      <c r="AK155" s="12">
        <f t="shared" si="10"/>
        <v>4.4036697247706424</v>
      </c>
      <c r="AL155" s="12" t="str">
        <f t="shared" si="13"/>
        <v>Até 10%</v>
      </c>
      <c r="AM155" s="6" t="s">
        <v>1313</v>
      </c>
      <c r="AN155" s="6" t="s">
        <v>1453</v>
      </c>
      <c r="AO155" s="6" t="s">
        <v>1314</v>
      </c>
      <c r="AP155" s="6">
        <v>1</v>
      </c>
      <c r="AQ155" s="6" t="s">
        <v>613</v>
      </c>
      <c r="AR155" s="6" t="s">
        <v>1399</v>
      </c>
      <c r="AS155" s="6">
        <v>1</v>
      </c>
      <c r="AT155" s="6">
        <v>0</v>
      </c>
      <c r="AU155" s="6">
        <v>0</v>
      </c>
      <c r="AV155" s="6">
        <v>0</v>
      </c>
      <c r="AW155" s="6">
        <v>0</v>
      </c>
      <c r="AX155" s="31">
        <v>0</v>
      </c>
      <c r="AY155" s="31">
        <v>0</v>
      </c>
      <c r="AZ155" s="31">
        <v>0</v>
      </c>
      <c r="BA155" s="12">
        <f t="shared" si="11"/>
        <v>0</v>
      </c>
      <c r="BB155" s="31">
        <v>0</v>
      </c>
      <c r="BC155" s="31">
        <v>0</v>
      </c>
      <c r="BD155" s="31">
        <v>0</v>
      </c>
      <c r="BE155" s="31">
        <v>0</v>
      </c>
      <c r="BF155" s="12">
        <f t="shared" si="12"/>
        <v>0</v>
      </c>
      <c r="BG155" s="6">
        <v>0</v>
      </c>
      <c r="BH155" s="6">
        <v>0</v>
      </c>
      <c r="BI155" s="6">
        <v>0</v>
      </c>
      <c r="BJ155" s="24" t="s">
        <v>620</v>
      </c>
      <c r="BK155" s="23">
        <v>0</v>
      </c>
      <c r="BL155" s="23">
        <v>0</v>
      </c>
      <c r="BM155" s="23">
        <v>0</v>
      </c>
      <c r="BN155" s="23">
        <v>1</v>
      </c>
      <c r="BO155" s="6">
        <v>0</v>
      </c>
      <c r="BP155" s="6">
        <v>0</v>
      </c>
      <c r="BQ155" s="6">
        <v>0</v>
      </c>
      <c r="BR155" s="6">
        <v>0</v>
      </c>
    </row>
    <row r="156" spans="1:70" ht="52.8" customHeight="1" x14ac:dyDescent="0.3">
      <c r="A156" s="6">
        <v>563041</v>
      </c>
      <c r="B156" s="6" t="s">
        <v>13</v>
      </c>
      <c r="C156" s="15" t="s">
        <v>975</v>
      </c>
      <c r="D156" s="6" t="s">
        <v>55</v>
      </c>
      <c r="E156" s="6" t="s">
        <v>15</v>
      </c>
      <c r="F156" s="7">
        <v>41869</v>
      </c>
      <c r="G156" s="7">
        <v>42107</v>
      </c>
      <c r="H156" s="8" t="s">
        <v>71</v>
      </c>
      <c r="I156" s="3" t="s">
        <v>48</v>
      </c>
      <c r="J156" s="3" t="s">
        <v>18</v>
      </c>
      <c r="K156" t="s">
        <v>19</v>
      </c>
      <c r="L156" s="6" t="s">
        <v>695</v>
      </c>
      <c r="M156" s="14" t="s">
        <v>977</v>
      </c>
      <c r="N156" s="6" t="s">
        <v>703</v>
      </c>
      <c r="O156" s="6">
        <v>1</v>
      </c>
      <c r="P156" s="6" t="s">
        <v>713</v>
      </c>
      <c r="Q156" s="35">
        <v>1</v>
      </c>
      <c r="R156" s="35">
        <v>0</v>
      </c>
      <c r="S156" s="35">
        <v>0</v>
      </c>
      <c r="T156" s="35">
        <v>1</v>
      </c>
      <c r="U156" s="35">
        <v>0</v>
      </c>
      <c r="V156" s="35">
        <v>0</v>
      </c>
      <c r="W156" s="35">
        <v>0</v>
      </c>
      <c r="X156" s="6" t="s">
        <v>657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14" t="s">
        <v>21</v>
      </c>
      <c r="AE156" s="13" t="s">
        <v>138</v>
      </c>
      <c r="AF156" s="13" t="s">
        <v>976</v>
      </c>
      <c r="AG156" s="8" t="s">
        <v>1357</v>
      </c>
      <c r="AH156" s="11">
        <v>41279</v>
      </c>
      <c r="AI156" s="10">
        <v>678</v>
      </c>
      <c r="AJ156" s="12">
        <v>40</v>
      </c>
      <c r="AK156" s="12">
        <f t="shared" si="10"/>
        <v>5.8997050147492622</v>
      </c>
      <c r="AL156" s="12" t="str">
        <f t="shared" si="13"/>
        <v>Até 10%</v>
      </c>
      <c r="AM156" s="6" t="s">
        <v>737</v>
      </c>
      <c r="AN156" s="6" t="s">
        <v>1454</v>
      </c>
      <c r="AO156" s="6" t="s">
        <v>699</v>
      </c>
      <c r="AP156" s="6">
        <v>0</v>
      </c>
      <c r="AQ156" s="6" t="s">
        <v>980</v>
      </c>
      <c r="AR156" s="6" t="s">
        <v>1399</v>
      </c>
      <c r="AS156" s="6">
        <v>0</v>
      </c>
      <c r="AT156" s="6">
        <v>0</v>
      </c>
      <c r="AU156" s="6">
        <v>1</v>
      </c>
      <c r="AV156" s="6">
        <v>0</v>
      </c>
      <c r="AW156" s="6" t="s">
        <v>945</v>
      </c>
      <c r="AX156" s="31">
        <v>0</v>
      </c>
      <c r="AY156" s="31">
        <v>4</v>
      </c>
      <c r="AZ156" s="31">
        <v>20</v>
      </c>
      <c r="BA156" s="12">
        <f t="shared" si="11"/>
        <v>4.666666666666667</v>
      </c>
      <c r="BB156" s="31">
        <v>3</v>
      </c>
      <c r="BC156" s="31">
        <v>0</v>
      </c>
      <c r="BD156" s="31">
        <v>0</v>
      </c>
      <c r="BE156" s="31">
        <v>0</v>
      </c>
      <c r="BF156" s="12">
        <f t="shared" si="12"/>
        <v>0</v>
      </c>
      <c r="BG156" s="6" t="s">
        <v>636</v>
      </c>
      <c r="BH156" s="6" t="s">
        <v>1394</v>
      </c>
      <c r="BI156" s="6">
        <v>1</v>
      </c>
      <c r="BJ156" s="6" t="s">
        <v>609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</row>
    <row r="157" spans="1:70" ht="52.8" customHeight="1" x14ac:dyDescent="0.3">
      <c r="A157" s="6">
        <v>610600</v>
      </c>
      <c r="B157" s="6" t="s">
        <v>46</v>
      </c>
      <c r="C157" s="15" t="s">
        <v>352</v>
      </c>
      <c r="D157" s="6" t="s">
        <v>64</v>
      </c>
      <c r="E157" s="6" t="s">
        <v>15</v>
      </c>
      <c r="F157" s="7">
        <v>41953</v>
      </c>
      <c r="G157" s="7">
        <v>41971</v>
      </c>
      <c r="H157" s="8" t="s">
        <v>52</v>
      </c>
      <c r="I157" s="3" t="s">
        <v>48</v>
      </c>
      <c r="J157" s="3" t="s">
        <v>18</v>
      </c>
      <c r="K157" t="s">
        <v>19</v>
      </c>
      <c r="L157" s="6" t="s">
        <v>695</v>
      </c>
      <c r="M157" s="14" t="s">
        <v>626</v>
      </c>
      <c r="N157" s="6" t="s">
        <v>657</v>
      </c>
      <c r="O157" s="6">
        <v>0</v>
      </c>
      <c r="P157" s="6" t="s">
        <v>882</v>
      </c>
      <c r="Q157" s="35">
        <v>0</v>
      </c>
      <c r="R157" s="35">
        <v>1</v>
      </c>
      <c r="S157" s="35">
        <v>0</v>
      </c>
      <c r="T157" s="35">
        <v>1</v>
      </c>
      <c r="U157" s="35">
        <v>0</v>
      </c>
      <c r="V157" s="35">
        <v>0</v>
      </c>
      <c r="W157" s="35">
        <v>0</v>
      </c>
      <c r="X157" s="6" t="s">
        <v>939</v>
      </c>
      <c r="Y157" s="6">
        <v>1</v>
      </c>
      <c r="Z157" s="6">
        <v>0</v>
      </c>
      <c r="AA157" s="6">
        <v>1</v>
      </c>
      <c r="AB157" s="6">
        <v>0</v>
      </c>
      <c r="AC157" s="6">
        <v>1</v>
      </c>
      <c r="AD157" s="14" t="s">
        <v>21</v>
      </c>
      <c r="AE157" s="13" t="s">
        <v>353</v>
      </c>
      <c r="AF157" s="13" t="s">
        <v>66</v>
      </c>
      <c r="AG157" s="8" t="s">
        <v>1357</v>
      </c>
      <c r="AH157" s="11">
        <v>41272</v>
      </c>
      <c r="AI157" s="10">
        <v>622</v>
      </c>
      <c r="AJ157" s="12">
        <v>70</v>
      </c>
      <c r="AK157" s="12">
        <f t="shared" si="10"/>
        <v>11.254019292604502</v>
      </c>
      <c r="AL157" s="12" t="str">
        <f t="shared" si="13"/>
        <v>10% a 25%</v>
      </c>
      <c r="AM157" s="6" t="s">
        <v>938</v>
      </c>
      <c r="AN157" s="6" t="s">
        <v>1455</v>
      </c>
      <c r="AO157" s="6" t="s">
        <v>699</v>
      </c>
      <c r="AP157" s="6">
        <v>0</v>
      </c>
      <c r="AQ157" s="6" t="s">
        <v>625</v>
      </c>
      <c r="AR157" s="6" t="s">
        <v>1400</v>
      </c>
      <c r="AS157" s="6">
        <v>1</v>
      </c>
      <c r="AT157" s="6">
        <v>0</v>
      </c>
      <c r="AU157" s="6">
        <v>0</v>
      </c>
      <c r="AV157" s="6">
        <v>0</v>
      </c>
      <c r="AW157" s="6" t="s">
        <v>721</v>
      </c>
      <c r="AX157" s="31">
        <v>2</v>
      </c>
      <c r="AY157" s="31">
        <v>4</v>
      </c>
      <c r="AZ157" s="31">
        <v>0</v>
      </c>
      <c r="BA157" s="12">
        <f t="shared" si="11"/>
        <v>28.333333333333332</v>
      </c>
      <c r="BB157" s="31">
        <v>11</v>
      </c>
      <c r="BC157" s="31">
        <v>0</v>
      </c>
      <c r="BD157" s="31">
        <v>0</v>
      </c>
      <c r="BE157" s="31">
        <v>0</v>
      </c>
      <c r="BF157" s="12">
        <f t="shared" si="12"/>
        <v>0</v>
      </c>
      <c r="BG157" s="6" t="s">
        <v>615</v>
      </c>
      <c r="BH157" s="6" t="s">
        <v>1393</v>
      </c>
      <c r="BI157" s="6">
        <v>0</v>
      </c>
      <c r="BJ157" s="6" t="s">
        <v>609</v>
      </c>
      <c r="BK157" s="6">
        <v>0</v>
      </c>
      <c r="BL157" s="6">
        <v>1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</row>
    <row r="158" spans="1:70" ht="52.8" customHeight="1" x14ac:dyDescent="0.3">
      <c r="A158" s="6">
        <v>592987</v>
      </c>
      <c r="B158" s="6" t="s">
        <v>46</v>
      </c>
      <c r="C158" s="15" t="s">
        <v>356</v>
      </c>
      <c r="D158" s="6" t="s">
        <v>55</v>
      </c>
      <c r="E158" s="6" t="s">
        <v>15</v>
      </c>
      <c r="F158" s="7">
        <v>41920</v>
      </c>
      <c r="G158" s="7">
        <v>41933</v>
      </c>
      <c r="H158" s="8" t="s">
        <v>52</v>
      </c>
      <c r="I158" s="3" t="s">
        <v>17</v>
      </c>
      <c r="J158" s="3" t="s">
        <v>18</v>
      </c>
      <c r="K158" t="s">
        <v>19</v>
      </c>
      <c r="L158" s="6" t="s">
        <v>695</v>
      </c>
      <c r="M158" s="14" t="s">
        <v>977</v>
      </c>
      <c r="N158" s="6" t="s">
        <v>703</v>
      </c>
      <c r="O158" s="6">
        <v>1</v>
      </c>
      <c r="P158" s="6" t="s">
        <v>978</v>
      </c>
      <c r="Q158" s="35">
        <v>1</v>
      </c>
      <c r="R158" s="35">
        <v>0</v>
      </c>
      <c r="S158" s="35">
        <v>0</v>
      </c>
      <c r="T158" s="35">
        <v>0</v>
      </c>
      <c r="U158" s="35">
        <v>0</v>
      </c>
      <c r="V158" s="35">
        <v>1</v>
      </c>
      <c r="W158" s="35">
        <v>0</v>
      </c>
      <c r="X158" s="6" t="s">
        <v>766</v>
      </c>
      <c r="Y158" s="6">
        <v>1</v>
      </c>
      <c r="Z158" s="6">
        <v>0</v>
      </c>
      <c r="AA158" s="6">
        <v>0</v>
      </c>
      <c r="AB158" s="6">
        <v>0</v>
      </c>
      <c r="AC158" s="6">
        <v>1</v>
      </c>
      <c r="AD158" s="14" t="s">
        <v>21</v>
      </c>
      <c r="AE158" s="13" t="s">
        <v>357</v>
      </c>
      <c r="AF158" s="13" t="s">
        <v>665</v>
      </c>
      <c r="AG158" s="8" t="s">
        <v>1348</v>
      </c>
      <c r="AH158" s="11">
        <v>41340</v>
      </c>
      <c r="AI158" s="10">
        <v>678</v>
      </c>
      <c r="AJ158" s="12">
        <v>45</v>
      </c>
      <c r="AK158" s="12">
        <f t="shared" si="10"/>
        <v>6.6371681415929213</v>
      </c>
      <c r="AL158" s="12" t="str">
        <f t="shared" si="13"/>
        <v>Até 10%</v>
      </c>
      <c r="AM158" s="6" t="s">
        <v>622</v>
      </c>
      <c r="AN158" s="6" t="s">
        <v>622</v>
      </c>
      <c r="AO158" s="6" t="s">
        <v>701</v>
      </c>
      <c r="AP158" s="6">
        <v>1</v>
      </c>
      <c r="AQ158" s="6" t="s">
        <v>979</v>
      </c>
      <c r="AR158" s="6" t="s">
        <v>1399</v>
      </c>
      <c r="AS158" s="6">
        <v>0</v>
      </c>
      <c r="AT158" s="6">
        <v>0</v>
      </c>
      <c r="AU158" s="6">
        <v>0</v>
      </c>
      <c r="AV158" s="6">
        <v>0</v>
      </c>
      <c r="AW158" s="6" t="s">
        <v>818</v>
      </c>
      <c r="AX158" s="31">
        <v>0</v>
      </c>
      <c r="AY158" s="31">
        <v>4</v>
      </c>
      <c r="AZ158" s="31">
        <v>0</v>
      </c>
      <c r="BA158" s="12">
        <f t="shared" si="11"/>
        <v>4</v>
      </c>
      <c r="BB158" s="31">
        <v>3</v>
      </c>
      <c r="BC158" s="31">
        <v>0</v>
      </c>
      <c r="BD158" s="31">
        <v>0</v>
      </c>
      <c r="BE158" s="31">
        <v>0</v>
      </c>
      <c r="BF158" s="12">
        <f t="shared" si="12"/>
        <v>0</v>
      </c>
      <c r="BG158" s="6" t="s">
        <v>637</v>
      </c>
      <c r="BH158" s="6" t="s">
        <v>1394</v>
      </c>
      <c r="BI158" s="6">
        <v>0</v>
      </c>
      <c r="BJ158" s="6" t="s">
        <v>609</v>
      </c>
      <c r="BK158" s="6">
        <v>0</v>
      </c>
      <c r="BL158" s="6">
        <v>0</v>
      </c>
      <c r="BM158" s="6">
        <v>0</v>
      </c>
      <c r="BN158" s="6">
        <v>1</v>
      </c>
      <c r="BO158" s="6">
        <v>0</v>
      </c>
      <c r="BP158" s="6">
        <v>0</v>
      </c>
      <c r="BQ158" s="6">
        <v>0</v>
      </c>
      <c r="BR158" s="6">
        <v>0</v>
      </c>
    </row>
    <row r="159" spans="1:70" ht="52.8" customHeight="1" x14ac:dyDescent="0.3">
      <c r="A159" s="6">
        <v>648155</v>
      </c>
      <c r="B159" s="6" t="s">
        <v>46</v>
      </c>
      <c r="C159" s="15" t="s">
        <v>358</v>
      </c>
      <c r="D159" s="6" t="s">
        <v>64</v>
      </c>
      <c r="E159" s="6" t="s">
        <v>15</v>
      </c>
      <c r="F159" s="7">
        <v>42038</v>
      </c>
      <c r="G159" s="7">
        <v>42661</v>
      </c>
      <c r="H159" s="8" t="s">
        <v>94</v>
      </c>
      <c r="I159" s="3" t="s">
        <v>48</v>
      </c>
      <c r="J159" s="3" t="s">
        <v>18</v>
      </c>
      <c r="K159" t="s">
        <v>19</v>
      </c>
      <c r="L159" s="6" t="s">
        <v>695</v>
      </c>
      <c r="M159" s="14" t="s">
        <v>977</v>
      </c>
      <c r="N159" s="6" t="s">
        <v>703</v>
      </c>
      <c r="O159" s="6">
        <v>1</v>
      </c>
      <c r="P159" s="6" t="s">
        <v>1366</v>
      </c>
      <c r="Q159" s="35">
        <v>1</v>
      </c>
      <c r="R159" s="35">
        <v>0</v>
      </c>
      <c r="S159" s="35">
        <v>0</v>
      </c>
      <c r="T159" s="35">
        <v>0</v>
      </c>
      <c r="U159" s="35">
        <v>0</v>
      </c>
      <c r="V159" s="35">
        <v>0</v>
      </c>
      <c r="W159" s="35">
        <v>0</v>
      </c>
      <c r="X159" s="6" t="s">
        <v>1365</v>
      </c>
      <c r="Y159" s="6">
        <v>1</v>
      </c>
      <c r="Z159" s="6"/>
      <c r="AA159" s="6">
        <v>1</v>
      </c>
      <c r="AB159" s="6">
        <v>0</v>
      </c>
      <c r="AC159" s="6">
        <v>0</v>
      </c>
      <c r="AD159" s="14" t="s">
        <v>21</v>
      </c>
      <c r="AE159" s="13" t="s">
        <v>359</v>
      </c>
      <c r="AF159" s="13" t="s">
        <v>66</v>
      </c>
      <c r="AG159" s="8" t="s">
        <v>1357</v>
      </c>
      <c r="AH159" s="11">
        <v>40415</v>
      </c>
      <c r="AI159" s="10">
        <v>510</v>
      </c>
      <c r="AJ159" s="12">
        <v>20</v>
      </c>
      <c r="AK159" s="12">
        <f t="shared" si="10"/>
        <v>3.9215686274509802</v>
      </c>
      <c r="AL159" s="12" t="str">
        <f t="shared" si="13"/>
        <v>Até 10%</v>
      </c>
      <c r="AM159" s="6" t="s">
        <v>624</v>
      </c>
      <c r="AN159" s="6" t="s">
        <v>1452</v>
      </c>
      <c r="AO159" s="6" t="s">
        <v>699</v>
      </c>
      <c r="AP159" s="6">
        <v>0</v>
      </c>
      <c r="AQ159" s="6" t="s">
        <v>981</v>
      </c>
      <c r="AR159" s="6" t="s">
        <v>1403</v>
      </c>
      <c r="AS159" s="6">
        <v>1</v>
      </c>
      <c r="AT159" s="6">
        <v>0</v>
      </c>
      <c r="AU159" s="6">
        <v>0</v>
      </c>
      <c r="AV159" s="6">
        <v>0</v>
      </c>
      <c r="AW159" s="6" t="s">
        <v>862</v>
      </c>
      <c r="AX159" s="31">
        <v>0</v>
      </c>
      <c r="AY159" s="31">
        <v>8</v>
      </c>
      <c r="AZ159" s="31">
        <v>0</v>
      </c>
      <c r="BA159" s="12">
        <f t="shared" si="11"/>
        <v>8</v>
      </c>
      <c r="BB159" s="31">
        <v>3</v>
      </c>
      <c r="BC159" s="31">
        <v>0</v>
      </c>
      <c r="BD159" s="31">
        <v>0</v>
      </c>
      <c r="BE159" s="31">
        <v>0</v>
      </c>
      <c r="BF159" s="12">
        <f t="shared" si="12"/>
        <v>0</v>
      </c>
      <c r="BG159" s="6" t="s">
        <v>636</v>
      </c>
      <c r="BH159" s="6" t="s">
        <v>1394</v>
      </c>
      <c r="BI159" s="6">
        <v>1</v>
      </c>
      <c r="BJ159" s="6" t="s">
        <v>609</v>
      </c>
      <c r="BK159" s="6">
        <v>0</v>
      </c>
      <c r="BL159" s="6">
        <v>0</v>
      </c>
      <c r="BM159" s="6">
        <v>0</v>
      </c>
      <c r="BN159" s="6">
        <v>1</v>
      </c>
      <c r="BO159" s="6">
        <v>0</v>
      </c>
      <c r="BP159" s="6">
        <v>0</v>
      </c>
      <c r="BQ159" s="6">
        <v>0</v>
      </c>
      <c r="BR159" s="6">
        <v>0</v>
      </c>
    </row>
    <row r="160" spans="1:70" ht="52.8" customHeight="1" x14ac:dyDescent="0.3">
      <c r="A160" s="6">
        <v>1525407</v>
      </c>
      <c r="B160" s="6" t="s">
        <v>26</v>
      </c>
      <c r="C160" s="15" t="s">
        <v>360</v>
      </c>
      <c r="D160" s="6" t="s">
        <v>41</v>
      </c>
      <c r="E160" s="6" t="s">
        <v>15</v>
      </c>
      <c r="F160" s="7">
        <v>42109</v>
      </c>
      <c r="G160" s="7">
        <v>42128</v>
      </c>
      <c r="H160" s="8" t="s">
        <v>111</v>
      </c>
      <c r="I160" s="3" t="s">
        <v>17</v>
      </c>
      <c r="J160" s="3" t="s">
        <v>18</v>
      </c>
      <c r="K160" t="s">
        <v>19</v>
      </c>
      <c r="L160" s="6" t="s">
        <v>696</v>
      </c>
      <c r="M160" s="14" t="s">
        <v>724</v>
      </c>
      <c r="N160" s="6" t="s">
        <v>657</v>
      </c>
      <c r="O160" s="6">
        <v>0</v>
      </c>
      <c r="P160" s="6" t="s">
        <v>942</v>
      </c>
      <c r="Q160" s="35">
        <v>0</v>
      </c>
      <c r="R160" s="35">
        <v>0</v>
      </c>
      <c r="S160" s="35">
        <v>1</v>
      </c>
      <c r="T160" s="35">
        <v>0</v>
      </c>
      <c r="U160" s="35">
        <v>0</v>
      </c>
      <c r="V160" s="35">
        <v>0</v>
      </c>
      <c r="W160" s="35">
        <v>0</v>
      </c>
      <c r="X160" s="6" t="s">
        <v>761</v>
      </c>
      <c r="Y160" s="6">
        <v>1</v>
      </c>
      <c r="Z160" s="6">
        <v>1</v>
      </c>
      <c r="AA160" s="6">
        <v>0</v>
      </c>
      <c r="AB160" s="6">
        <v>1</v>
      </c>
      <c r="AC160" s="6">
        <v>0</v>
      </c>
      <c r="AD160" s="14" t="s">
        <v>21</v>
      </c>
      <c r="AE160" s="13" t="s">
        <v>361</v>
      </c>
      <c r="AF160" s="13" t="s">
        <v>45</v>
      </c>
      <c r="AG160" s="8" t="s">
        <v>1357</v>
      </c>
      <c r="AH160" s="11">
        <v>40506</v>
      </c>
      <c r="AI160" s="10">
        <v>510</v>
      </c>
      <c r="AJ160" s="12">
        <v>24</v>
      </c>
      <c r="AK160" s="12">
        <f t="shared" si="10"/>
        <v>4.7058823529411766</v>
      </c>
      <c r="AL160" s="12" t="str">
        <f t="shared" si="13"/>
        <v>Até 10%</v>
      </c>
      <c r="AM160" s="6" t="s">
        <v>982</v>
      </c>
      <c r="AN160" s="6" t="s">
        <v>655</v>
      </c>
      <c r="AO160" s="6" t="s">
        <v>701</v>
      </c>
      <c r="AP160" s="6">
        <v>1</v>
      </c>
      <c r="AQ160" s="6" t="s">
        <v>613</v>
      </c>
      <c r="AR160" s="6" t="s">
        <v>1399</v>
      </c>
      <c r="AS160" s="6">
        <v>1</v>
      </c>
      <c r="AT160" s="6">
        <v>0</v>
      </c>
      <c r="AU160" s="6">
        <v>0</v>
      </c>
      <c r="AV160" s="6">
        <v>0</v>
      </c>
      <c r="AW160" s="6" t="s">
        <v>686</v>
      </c>
      <c r="AX160" s="31">
        <v>1</v>
      </c>
      <c r="AY160" s="31">
        <v>0</v>
      </c>
      <c r="AZ160" s="31">
        <v>0</v>
      </c>
      <c r="BA160" s="12">
        <f t="shared" si="11"/>
        <v>12.166666666666666</v>
      </c>
      <c r="BB160" s="31">
        <v>10</v>
      </c>
      <c r="BC160" s="31">
        <v>0</v>
      </c>
      <c r="BD160" s="31">
        <v>0</v>
      </c>
      <c r="BE160" s="31">
        <v>0</v>
      </c>
      <c r="BF160" s="12">
        <f t="shared" si="12"/>
        <v>0</v>
      </c>
      <c r="BG160" s="6" t="s">
        <v>615</v>
      </c>
      <c r="BH160" s="6" t="s">
        <v>1393</v>
      </c>
      <c r="BI160" s="6">
        <v>0</v>
      </c>
      <c r="BJ160" s="6" t="s">
        <v>609</v>
      </c>
      <c r="BK160" s="6">
        <v>0</v>
      </c>
      <c r="BL160" s="6">
        <v>1</v>
      </c>
      <c r="BM160" s="6">
        <v>1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</row>
    <row r="161" spans="1:70" ht="52.8" customHeight="1" x14ac:dyDescent="0.3">
      <c r="A161" s="6">
        <v>325003</v>
      </c>
      <c r="B161" s="6" t="s">
        <v>24</v>
      </c>
      <c r="C161" s="15" t="s">
        <v>362</v>
      </c>
      <c r="D161" s="6" t="s">
        <v>14</v>
      </c>
      <c r="E161" s="6" t="s">
        <v>15</v>
      </c>
      <c r="F161" s="7">
        <v>42150</v>
      </c>
      <c r="G161" s="7">
        <v>42493</v>
      </c>
      <c r="H161" s="8" t="s">
        <v>59</v>
      </c>
      <c r="I161" s="3" t="s">
        <v>48</v>
      </c>
      <c r="J161" s="3" t="s">
        <v>18</v>
      </c>
      <c r="K161" t="s">
        <v>19</v>
      </c>
      <c r="L161" s="6" t="s">
        <v>696</v>
      </c>
      <c r="M161" s="14" t="s">
        <v>848</v>
      </c>
      <c r="N161" s="6" t="s">
        <v>657</v>
      </c>
      <c r="O161" s="6">
        <v>0</v>
      </c>
      <c r="P161" s="6" t="s">
        <v>942</v>
      </c>
      <c r="Q161" s="35">
        <v>0</v>
      </c>
      <c r="R161" s="35">
        <v>0</v>
      </c>
      <c r="S161" s="35">
        <v>1</v>
      </c>
      <c r="T161" s="35">
        <v>0</v>
      </c>
      <c r="U161" s="35">
        <v>0</v>
      </c>
      <c r="V161" s="35">
        <v>0</v>
      </c>
      <c r="W161" s="35">
        <v>0</v>
      </c>
      <c r="X161" s="6" t="s">
        <v>657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14" t="s">
        <v>21</v>
      </c>
      <c r="AE161" s="13" t="s">
        <v>363</v>
      </c>
      <c r="AF161" s="13" t="s">
        <v>364</v>
      </c>
      <c r="AG161" s="8" t="s">
        <v>1349</v>
      </c>
      <c r="AH161" s="11">
        <v>40694</v>
      </c>
      <c r="AI161" s="10">
        <v>545</v>
      </c>
      <c r="AJ161" s="12">
        <v>62</v>
      </c>
      <c r="AK161" s="12">
        <f t="shared" si="10"/>
        <v>11.376146788990827</v>
      </c>
      <c r="AL161" s="12" t="str">
        <f t="shared" si="13"/>
        <v>10% a 25%</v>
      </c>
      <c r="AM161" s="6" t="s">
        <v>983</v>
      </c>
      <c r="AN161" s="6" t="s">
        <v>616</v>
      </c>
      <c r="AO161" s="6" t="s">
        <v>699</v>
      </c>
      <c r="AP161" s="6">
        <v>0</v>
      </c>
      <c r="AQ161" s="6" t="s">
        <v>851</v>
      </c>
      <c r="AR161" s="6" t="s">
        <v>1400</v>
      </c>
      <c r="AS161" s="6">
        <v>1</v>
      </c>
      <c r="AT161" s="6">
        <v>0</v>
      </c>
      <c r="AU161" s="6">
        <v>0</v>
      </c>
      <c r="AV161" s="6">
        <v>0</v>
      </c>
      <c r="AW161" s="6" t="s">
        <v>984</v>
      </c>
      <c r="AX161" s="31">
        <v>2</v>
      </c>
      <c r="AY161" s="31">
        <v>8</v>
      </c>
      <c r="AZ161" s="31">
        <v>20</v>
      </c>
      <c r="BA161" s="12">
        <f t="shared" si="11"/>
        <v>33</v>
      </c>
      <c r="BB161" s="31">
        <v>12</v>
      </c>
      <c r="BC161" s="31">
        <v>0</v>
      </c>
      <c r="BD161" s="31">
        <v>0</v>
      </c>
      <c r="BE161" s="31">
        <v>0</v>
      </c>
      <c r="BF161" s="12">
        <f t="shared" si="12"/>
        <v>0</v>
      </c>
      <c r="BG161" s="6" t="s">
        <v>615</v>
      </c>
      <c r="BH161" s="6" t="s">
        <v>1393</v>
      </c>
      <c r="BI161" s="6">
        <v>0</v>
      </c>
      <c r="BJ161" s="6" t="s">
        <v>609</v>
      </c>
      <c r="BK161" s="6">
        <v>0</v>
      </c>
      <c r="BL161" s="6">
        <v>1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</row>
    <row r="162" spans="1:70" ht="52.8" customHeight="1" x14ac:dyDescent="0.3">
      <c r="A162" s="6">
        <v>555560</v>
      </c>
      <c r="B162" s="6" t="s">
        <v>46</v>
      </c>
      <c r="C162" s="15" t="s">
        <v>365</v>
      </c>
      <c r="D162" s="6" t="s">
        <v>14</v>
      </c>
      <c r="E162" s="6" t="s">
        <v>15</v>
      </c>
      <c r="F162" s="7">
        <v>41856</v>
      </c>
      <c r="G162" s="7">
        <v>42139</v>
      </c>
      <c r="H162" s="8" t="s">
        <v>38</v>
      </c>
      <c r="I162" s="3" t="s">
        <v>17</v>
      </c>
      <c r="J162" s="3" t="s">
        <v>18</v>
      </c>
      <c r="K162" t="s">
        <v>19</v>
      </c>
      <c r="L162" s="6" t="s">
        <v>696</v>
      </c>
      <c r="M162" s="14" t="s">
        <v>987</v>
      </c>
      <c r="N162" s="6" t="s">
        <v>657</v>
      </c>
      <c r="O162" s="6">
        <v>0</v>
      </c>
      <c r="P162" s="6" t="s">
        <v>714</v>
      </c>
      <c r="Q162" s="35">
        <v>1</v>
      </c>
      <c r="R162" s="35">
        <v>0</v>
      </c>
      <c r="S162" s="35">
        <v>0</v>
      </c>
      <c r="T162" s="35">
        <v>0</v>
      </c>
      <c r="U162" s="35">
        <v>0</v>
      </c>
      <c r="V162" s="35">
        <v>0</v>
      </c>
      <c r="W162" s="35">
        <v>0</v>
      </c>
      <c r="X162" s="6" t="s">
        <v>766</v>
      </c>
      <c r="Y162" s="6">
        <v>1</v>
      </c>
      <c r="Z162" s="6">
        <v>0</v>
      </c>
      <c r="AA162" s="6">
        <v>0</v>
      </c>
      <c r="AB162" s="6">
        <v>0</v>
      </c>
      <c r="AC162" s="6">
        <v>1</v>
      </c>
      <c r="AD162" s="14" t="s">
        <v>21</v>
      </c>
      <c r="AE162" s="13" t="s">
        <v>366</v>
      </c>
      <c r="AF162" s="13" t="s">
        <v>23</v>
      </c>
      <c r="AG162" s="8" t="s">
        <v>1357</v>
      </c>
      <c r="AH162" s="8" t="s">
        <v>986</v>
      </c>
      <c r="AI162" s="10">
        <v>545</v>
      </c>
      <c r="AJ162" s="12">
        <v>250</v>
      </c>
      <c r="AK162" s="12">
        <f t="shared" si="10"/>
        <v>45.871559633027523</v>
      </c>
      <c r="AL162" s="12" t="str">
        <f t="shared" si="13"/>
        <v>25% a 50%</v>
      </c>
      <c r="AM162" s="6" t="s">
        <v>786</v>
      </c>
      <c r="AN162" s="6" t="s">
        <v>1455</v>
      </c>
      <c r="AO162" s="6" t="s">
        <v>699</v>
      </c>
      <c r="AP162" s="6">
        <v>0</v>
      </c>
      <c r="AQ162" s="6" t="s">
        <v>777</v>
      </c>
      <c r="AR162" s="6" t="s">
        <v>1401</v>
      </c>
      <c r="AS162" s="6">
        <v>0</v>
      </c>
      <c r="AT162" s="6">
        <v>0</v>
      </c>
      <c r="AU162" s="6">
        <v>0</v>
      </c>
      <c r="AV162" s="6">
        <v>0</v>
      </c>
      <c r="AW162" s="6" t="s">
        <v>985</v>
      </c>
      <c r="AX162" s="31">
        <v>0</v>
      </c>
      <c r="AY162" s="31">
        <v>0</v>
      </c>
      <c r="AZ162" s="31">
        <v>0</v>
      </c>
      <c r="BA162" s="12">
        <f t="shared" si="11"/>
        <v>0</v>
      </c>
      <c r="BB162" s="31">
        <v>3</v>
      </c>
      <c r="BC162" s="31">
        <v>0</v>
      </c>
      <c r="BD162" s="31">
        <v>0</v>
      </c>
      <c r="BE162" s="31">
        <v>0</v>
      </c>
      <c r="BF162" s="12">
        <f t="shared" si="12"/>
        <v>0</v>
      </c>
      <c r="BG162" s="6" t="s">
        <v>636</v>
      </c>
      <c r="BH162" s="6" t="s">
        <v>1394</v>
      </c>
      <c r="BI162" s="6">
        <v>1</v>
      </c>
      <c r="BJ162" s="6" t="s">
        <v>609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</row>
    <row r="163" spans="1:70" ht="52.8" customHeight="1" x14ac:dyDescent="0.3">
      <c r="A163" s="6">
        <v>609043</v>
      </c>
      <c r="B163" s="6" t="s">
        <v>46</v>
      </c>
      <c r="C163" s="15" t="s">
        <v>367</v>
      </c>
      <c r="D163" s="6" t="s">
        <v>64</v>
      </c>
      <c r="E163" s="6" t="s">
        <v>15</v>
      </c>
      <c r="F163" s="7">
        <v>41949</v>
      </c>
      <c r="G163" s="7">
        <v>42089</v>
      </c>
      <c r="H163" s="8" t="s">
        <v>16</v>
      </c>
      <c r="I163" s="3" t="s">
        <v>48</v>
      </c>
      <c r="J163" s="3" t="s">
        <v>18</v>
      </c>
      <c r="K163" t="s">
        <v>19</v>
      </c>
      <c r="L163" s="6" t="s">
        <v>695</v>
      </c>
      <c r="M163" s="14" t="s">
        <v>626</v>
      </c>
      <c r="N163" s="6" t="s">
        <v>657</v>
      </c>
      <c r="O163" s="6">
        <v>0</v>
      </c>
      <c r="P163" s="6" t="s">
        <v>942</v>
      </c>
      <c r="Q163" s="35">
        <v>0</v>
      </c>
      <c r="R163" s="35">
        <v>0</v>
      </c>
      <c r="S163" s="35">
        <v>1</v>
      </c>
      <c r="T163" s="35">
        <v>0</v>
      </c>
      <c r="U163" s="35">
        <v>0</v>
      </c>
      <c r="V163" s="35">
        <v>0</v>
      </c>
      <c r="W163" s="35">
        <v>0</v>
      </c>
      <c r="X163" s="6" t="s">
        <v>801</v>
      </c>
      <c r="Y163" s="6">
        <v>1</v>
      </c>
      <c r="Z163" s="6">
        <v>0</v>
      </c>
      <c r="AA163" s="6">
        <v>0</v>
      </c>
      <c r="AB163" s="6">
        <v>1</v>
      </c>
      <c r="AC163" s="6">
        <v>0</v>
      </c>
      <c r="AD163" s="14" t="s">
        <v>21</v>
      </c>
      <c r="AE163" s="13" t="s">
        <v>368</v>
      </c>
      <c r="AF163" s="13" t="s">
        <v>66</v>
      </c>
      <c r="AG163" s="8" t="s">
        <v>1357</v>
      </c>
      <c r="AH163" s="11">
        <v>41138</v>
      </c>
      <c r="AI163" s="10">
        <v>622</v>
      </c>
      <c r="AJ163" s="12">
        <v>40</v>
      </c>
      <c r="AK163" s="12">
        <f t="shared" si="10"/>
        <v>6.430868167202572</v>
      </c>
      <c r="AL163" s="12" t="str">
        <f t="shared" si="13"/>
        <v>Até 10%</v>
      </c>
      <c r="AM163" s="6" t="s">
        <v>618</v>
      </c>
      <c r="AN163" s="6" t="s">
        <v>618</v>
      </c>
      <c r="AO163" s="6" t="s">
        <v>701</v>
      </c>
      <c r="AP163" s="6">
        <v>1</v>
      </c>
      <c r="AQ163" s="6" t="s">
        <v>628</v>
      </c>
      <c r="AR163" s="6" t="s">
        <v>1400</v>
      </c>
      <c r="AS163" s="6">
        <v>1</v>
      </c>
      <c r="AT163" s="6">
        <v>0</v>
      </c>
      <c r="AU163" s="6">
        <v>0</v>
      </c>
      <c r="AV163" s="6">
        <v>0</v>
      </c>
      <c r="AW163" s="6" t="s">
        <v>652</v>
      </c>
      <c r="AX163" s="31">
        <v>2</v>
      </c>
      <c r="AY163" s="31">
        <v>0</v>
      </c>
      <c r="AZ163" s="31">
        <v>0</v>
      </c>
      <c r="BA163" s="12">
        <f t="shared" si="11"/>
        <v>24.333333333333332</v>
      </c>
      <c r="BB163" s="31">
        <v>10</v>
      </c>
      <c r="BC163" s="31">
        <v>0</v>
      </c>
      <c r="BD163" s="31">
        <v>0</v>
      </c>
      <c r="BE163" s="31">
        <v>0</v>
      </c>
      <c r="BF163" s="12">
        <f t="shared" si="12"/>
        <v>0</v>
      </c>
      <c r="BG163" s="6" t="s">
        <v>853</v>
      </c>
      <c r="BH163" s="6" t="s">
        <v>1394</v>
      </c>
      <c r="BI163" s="6">
        <v>1</v>
      </c>
      <c r="BJ163" s="6" t="s">
        <v>609</v>
      </c>
      <c r="BK163" s="6">
        <v>0</v>
      </c>
      <c r="BL163" s="6">
        <v>1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</row>
    <row r="164" spans="1:70" ht="52.8" customHeight="1" x14ac:dyDescent="0.3">
      <c r="A164" s="6">
        <v>651379</v>
      </c>
      <c r="B164" s="6" t="s">
        <v>46</v>
      </c>
      <c r="C164" s="15" t="s">
        <v>369</v>
      </c>
      <c r="D164" s="6" t="s">
        <v>64</v>
      </c>
      <c r="E164" s="6" t="s">
        <v>15</v>
      </c>
      <c r="F164" s="7">
        <v>42044</v>
      </c>
      <c r="G164" s="7">
        <v>42069</v>
      </c>
      <c r="H164" s="8" t="s">
        <v>111</v>
      </c>
      <c r="I164" s="3" t="s">
        <v>17</v>
      </c>
      <c r="J164" s="3" t="s">
        <v>18</v>
      </c>
      <c r="K164" t="s">
        <v>19</v>
      </c>
      <c r="L164" s="6" t="s">
        <v>696</v>
      </c>
      <c r="M164" s="14" t="s">
        <v>626</v>
      </c>
      <c r="N164" s="6" t="s">
        <v>657</v>
      </c>
      <c r="O164" s="6">
        <v>0</v>
      </c>
      <c r="P164" s="6" t="s">
        <v>707</v>
      </c>
      <c r="Q164" s="35">
        <v>0</v>
      </c>
      <c r="R164" s="35">
        <v>1</v>
      </c>
      <c r="S164" s="35">
        <v>0</v>
      </c>
      <c r="T164" s="35">
        <v>0</v>
      </c>
      <c r="U164" s="35">
        <v>0</v>
      </c>
      <c r="V164" s="35">
        <v>0</v>
      </c>
      <c r="W164" s="35">
        <v>0</v>
      </c>
      <c r="X164" s="6" t="s">
        <v>801</v>
      </c>
      <c r="Y164" s="6">
        <v>1</v>
      </c>
      <c r="Z164" s="6">
        <v>0</v>
      </c>
      <c r="AA164" s="6">
        <v>0</v>
      </c>
      <c r="AB164" s="6">
        <v>1</v>
      </c>
      <c r="AC164" s="6">
        <v>0</v>
      </c>
      <c r="AD164" s="14" t="s">
        <v>21</v>
      </c>
      <c r="AE164" s="13" t="s">
        <v>370</v>
      </c>
      <c r="AF164" s="13" t="s">
        <v>66</v>
      </c>
      <c r="AG164" s="8" t="s">
        <v>1357</v>
      </c>
      <c r="AH164" s="11">
        <v>41398</v>
      </c>
      <c r="AI164" s="10">
        <v>678</v>
      </c>
      <c r="AJ164" s="12">
        <v>115</v>
      </c>
      <c r="AK164" s="12">
        <f t="shared" si="10"/>
        <v>16.961651917404129</v>
      </c>
      <c r="AL164" s="12" t="str">
        <f t="shared" si="13"/>
        <v>10% a 25%</v>
      </c>
      <c r="AM164" s="6" t="s">
        <v>988</v>
      </c>
      <c r="AN164" s="6" t="s">
        <v>1454</v>
      </c>
      <c r="AO164" s="6" t="s">
        <v>701</v>
      </c>
      <c r="AP164" s="6">
        <v>1</v>
      </c>
      <c r="AQ164" s="6" t="s">
        <v>613</v>
      </c>
      <c r="AR164" s="6" t="s">
        <v>1399</v>
      </c>
      <c r="AS164" s="6">
        <v>1</v>
      </c>
      <c r="AT164" s="6">
        <v>0</v>
      </c>
      <c r="AU164" s="6">
        <v>0</v>
      </c>
      <c r="AV164" s="6">
        <v>0</v>
      </c>
      <c r="AW164" s="6">
        <v>0</v>
      </c>
      <c r="AX164" s="31">
        <v>0</v>
      </c>
      <c r="AY164" s="31">
        <v>0</v>
      </c>
      <c r="AZ164" s="31">
        <v>0</v>
      </c>
      <c r="BA164" s="12">
        <f t="shared" si="11"/>
        <v>0</v>
      </c>
      <c r="BB164" s="31">
        <v>0</v>
      </c>
      <c r="BC164" s="31">
        <v>0</v>
      </c>
      <c r="BD164" s="31">
        <v>0</v>
      </c>
      <c r="BE164" s="31">
        <v>0</v>
      </c>
      <c r="BF164" s="12">
        <f t="shared" si="12"/>
        <v>0</v>
      </c>
      <c r="BG164" s="6">
        <v>0</v>
      </c>
      <c r="BH164" s="6">
        <v>0</v>
      </c>
      <c r="BI164" s="6">
        <v>0</v>
      </c>
      <c r="BJ164" s="6" t="s">
        <v>620</v>
      </c>
      <c r="BK164" s="6">
        <v>0</v>
      </c>
      <c r="BL164" s="6">
        <v>1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</row>
    <row r="165" spans="1:70" ht="52.8" customHeight="1" x14ac:dyDescent="0.3">
      <c r="A165" s="6">
        <v>349480</v>
      </c>
      <c r="B165" s="6" t="s">
        <v>24</v>
      </c>
      <c r="C165" s="15" t="s">
        <v>231</v>
      </c>
      <c r="D165" s="6" t="s">
        <v>14</v>
      </c>
      <c r="E165" s="6" t="s">
        <v>15</v>
      </c>
      <c r="F165" s="7">
        <v>42418</v>
      </c>
      <c r="G165" s="7">
        <v>42584</v>
      </c>
      <c r="H165" s="8" t="s">
        <v>101</v>
      </c>
      <c r="I165" s="3" t="s">
        <v>17</v>
      </c>
      <c r="J165" s="3" t="s">
        <v>18</v>
      </c>
      <c r="K165" t="s">
        <v>19</v>
      </c>
      <c r="L165" s="6" t="s">
        <v>695</v>
      </c>
      <c r="M165" s="14" t="s">
        <v>990</v>
      </c>
      <c r="N165" s="6" t="s">
        <v>703</v>
      </c>
      <c r="O165" s="6">
        <v>1</v>
      </c>
      <c r="P165" s="6" t="s">
        <v>758</v>
      </c>
      <c r="Q165" s="35">
        <v>1</v>
      </c>
      <c r="R165" s="35">
        <v>0</v>
      </c>
      <c r="S165" s="35">
        <v>0</v>
      </c>
      <c r="T165" s="35">
        <v>0</v>
      </c>
      <c r="U165" s="35">
        <v>0</v>
      </c>
      <c r="V165" s="35">
        <v>0</v>
      </c>
      <c r="W165" s="35">
        <v>0</v>
      </c>
      <c r="X165" s="6" t="s">
        <v>761</v>
      </c>
      <c r="Y165" s="6">
        <v>1</v>
      </c>
      <c r="Z165" s="6">
        <v>1</v>
      </c>
      <c r="AA165" s="6">
        <v>0</v>
      </c>
      <c r="AB165" s="6">
        <v>1</v>
      </c>
      <c r="AC165" s="6">
        <v>0</v>
      </c>
      <c r="AD165" s="14" t="s">
        <v>43</v>
      </c>
      <c r="AE165" s="13" t="s">
        <v>232</v>
      </c>
      <c r="AF165" s="13" t="s">
        <v>23</v>
      </c>
      <c r="AG165" s="8" t="s">
        <v>1357</v>
      </c>
      <c r="AH165" s="11">
        <v>41820</v>
      </c>
      <c r="AI165" s="10">
        <v>724</v>
      </c>
      <c r="AJ165" s="12">
        <v>35</v>
      </c>
      <c r="AK165" s="12">
        <f t="shared" si="10"/>
        <v>4.834254143646409</v>
      </c>
      <c r="AL165" s="12" t="str">
        <f t="shared" si="13"/>
        <v>Até 10%</v>
      </c>
      <c r="AM165" s="6" t="s">
        <v>779</v>
      </c>
      <c r="AN165" s="6" t="s">
        <v>1453</v>
      </c>
      <c r="AO165" s="6" t="s">
        <v>699</v>
      </c>
      <c r="AP165" s="6">
        <v>0</v>
      </c>
      <c r="AQ165" s="6" t="s">
        <v>613</v>
      </c>
      <c r="AR165" s="6" t="s">
        <v>1399</v>
      </c>
      <c r="AS165" s="6">
        <v>1</v>
      </c>
      <c r="AT165" s="6">
        <v>0</v>
      </c>
      <c r="AU165" s="6">
        <v>0</v>
      </c>
      <c r="AV165" s="6">
        <v>0</v>
      </c>
      <c r="AW165" s="6">
        <v>0</v>
      </c>
      <c r="AX165" s="31">
        <v>0</v>
      </c>
      <c r="AY165" s="31">
        <v>0</v>
      </c>
      <c r="AZ165" s="31">
        <v>0</v>
      </c>
      <c r="BA165" s="12">
        <f t="shared" si="11"/>
        <v>0</v>
      </c>
      <c r="BB165" s="31">
        <v>0</v>
      </c>
      <c r="BC165" s="31">
        <v>0</v>
      </c>
      <c r="BD165" s="31">
        <v>0</v>
      </c>
      <c r="BE165" s="31">
        <v>0</v>
      </c>
      <c r="BF165" s="12">
        <f t="shared" si="12"/>
        <v>0</v>
      </c>
      <c r="BG165" s="6">
        <v>0</v>
      </c>
      <c r="BH165" s="6">
        <v>0</v>
      </c>
      <c r="BI165" s="6">
        <v>0</v>
      </c>
      <c r="BJ165" s="6" t="s">
        <v>620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</row>
    <row r="166" spans="1:70" ht="52.8" customHeight="1" x14ac:dyDescent="0.3">
      <c r="A166" s="6">
        <v>1508054</v>
      </c>
      <c r="B166" s="6" t="s">
        <v>26</v>
      </c>
      <c r="C166" s="15" t="s">
        <v>371</v>
      </c>
      <c r="D166" s="6" t="s">
        <v>64</v>
      </c>
      <c r="E166" s="6" t="s">
        <v>15</v>
      </c>
      <c r="F166" s="7">
        <v>42024</v>
      </c>
      <c r="G166" s="7">
        <v>42088</v>
      </c>
      <c r="H166" s="8" t="s">
        <v>118</v>
      </c>
      <c r="I166" s="3" t="s">
        <v>17</v>
      </c>
      <c r="J166" s="3" t="s">
        <v>18</v>
      </c>
      <c r="K166" t="s">
        <v>19</v>
      </c>
      <c r="L166" s="6" t="s">
        <v>696</v>
      </c>
      <c r="M166" s="14" t="s">
        <v>992</v>
      </c>
      <c r="N166" s="6" t="s">
        <v>657</v>
      </c>
      <c r="O166" s="6">
        <v>0</v>
      </c>
      <c r="P166" s="6" t="s">
        <v>942</v>
      </c>
      <c r="Q166" s="35">
        <v>0</v>
      </c>
      <c r="R166" s="35">
        <v>0</v>
      </c>
      <c r="S166" s="35">
        <v>1</v>
      </c>
      <c r="T166" s="35">
        <v>0</v>
      </c>
      <c r="U166" s="35">
        <v>0</v>
      </c>
      <c r="V166" s="35">
        <v>0</v>
      </c>
      <c r="W166" s="35">
        <v>0</v>
      </c>
      <c r="X166" s="6" t="s">
        <v>801</v>
      </c>
      <c r="Y166" s="6">
        <v>1</v>
      </c>
      <c r="Z166" s="6">
        <v>0</v>
      </c>
      <c r="AA166" s="6">
        <v>0</v>
      </c>
      <c r="AB166" s="6">
        <v>1</v>
      </c>
      <c r="AC166" s="6">
        <v>0</v>
      </c>
      <c r="AD166" s="14" t="s">
        <v>21</v>
      </c>
      <c r="AE166" s="13" t="s">
        <v>372</v>
      </c>
      <c r="AF166" s="13" t="s">
        <v>991</v>
      </c>
      <c r="AG166" s="8" t="s">
        <v>1348</v>
      </c>
      <c r="AH166" s="11">
        <v>41041</v>
      </c>
      <c r="AI166" s="10">
        <v>622</v>
      </c>
      <c r="AJ166" s="12">
        <v>30</v>
      </c>
      <c r="AK166" s="12">
        <f t="shared" si="10"/>
        <v>4.823151125401929</v>
      </c>
      <c r="AL166" s="12" t="str">
        <f t="shared" si="13"/>
        <v>Até 10%</v>
      </c>
      <c r="AM166" s="6" t="s">
        <v>993</v>
      </c>
      <c r="AN166" s="6" t="s">
        <v>1454</v>
      </c>
      <c r="AO166" s="6" t="s">
        <v>699</v>
      </c>
      <c r="AP166" s="6">
        <v>0</v>
      </c>
      <c r="AQ166" s="6" t="s">
        <v>613</v>
      </c>
      <c r="AR166" s="6" t="s">
        <v>1399</v>
      </c>
      <c r="AS166" s="6">
        <v>1</v>
      </c>
      <c r="AT166" s="6">
        <v>0</v>
      </c>
      <c r="AU166" s="6">
        <v>0</v>
      </c>
      <c r="AV166" s="6">
        <v>0</v>
      </c>
      <c r="AW166" s="6">
        <v>0</v>
      </c>
      <c r="AX166" s="31">
        <v>0</v>
      </c>
      <c r="AY166" s="31">
        <v>0</v>
      </c>
      <c r="AZ166" s="31">
        <v>0</v>
      </c>
      <c r="BA166" s="12">
        <f t="shared" si="11"/>
        <v>0</v>
      </c>
      <c r="BB166" s="31">
        <v>0</v>
      </c>
      <c r="BC166" s="31">
        <v>0</v>
      </c>
      <c r="BD166" s="31">
        <v>0</v>
      </c>
      <c r="BE166" s="31">
        <v>0</v>
      </c>
      <c r="BF166" s="12">
        <f t="shared" si="12"/>
        <v>0</v>
      </c>
      <c r="BG166" s="6">
        <v>0</v>
      </c>
      <c r="BH166" s="6">
        <v>0</v>
      </c>
      <c r="BI166" s="6">
        <v>0</v>
      </c>
      <c r="BJ166" s="6" t="s">
        <v>617</v>
      </c>
      <c r="BK166" s="6">
        <v>0</v>
      </c>
      <c r="BL166" s="6">
        <v>1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</row>
    <row r="167" spans="1:70" ht="52.8" customHeight="1" x14ac:dyDescent="0.3">
      <c r="A167" s="6">
        <v>680741</v>
      </c>
      <c r="B167" s="6" t="s">
        <v>46</v>
      </c>
      <c r="C167" s="15" t="s">
        <v>373</v>
      </c>
      <c r="D167" s="6" t="s">
        <v>64</v>
      </c>
      <c r="E167" s="6" t="s">
        <v>15</v>
      </c>
      <c r="F167" s="7">
        <v>42094</v>
      </c>
      <c r="G167" s="7">
        <v>42122</v>
      </c>
      <c r="H167" s="8" t="s">
        <v>38</v>
      </c>
      <c r="I167" s="3" t="s">
        <v>17</v>
      </c>
      <c r="J167" s="3" t="s">
        <v>18</v>
      </c>
      <c r="K167" t="s">
        <v>19</v>
      </c>
      <c r="L167" s="6" t="s">
        <v>696</v>
      </c>
      <c r="M167" s="14" t="s">
        <v>626</v>
      </c>
      <c r="N167" s="6" t="s">
        <v>657</v>
      </c>
      <c r="O167" s="6">
        <v>0</v>
      </c>
      <c r="P167" s="6" t="s">
        <v>698</v>
      </c>
      <c r="Q167" s="35">
        <v>1</v>
      </c>
      <c r="R167" s="35">
        <v>1</v>
      </c>
      <c r="S167" s="35">
        <v>0</v>
      </c>
      <c r="T167" s="35">
        <v>0</v>
      </c>
      <c r="U167" s="35">
        <v>0</v>
      </c>
      <c r="V167" s="35">
        <v>0</v>
      </c>
      <c r="W167" s="35">
        <v>0</v>
      </c>
      <c r="X167" s="6" t="s">
        <v>1002</v>
      </c>
      <c r="Y167" s="6">
        <v>1</v>
      </c>
      <c r="Z167" s="6">
        <v>0</v>
      </c>
      <c r="AA167" s="6">
        <v>0</v>
      </c>
      <c r="AB167" s="6">
        <v>1</v>
      </c>
      <c r="AC167" s="6">
        <v>1</v>
      </c>
      <c r="AD167" s="14" t="s">
        <v>21</v>
      </c>
      <c r="AE167" s="13" t="s">
        <v>112</v>
      </c>
      <c r="AF167" s="13" t="s">
        <v>66</v>
      </c>
      <c r="AG167" s="8" t="s">
        <v>1357</v>
      </c>
      <c r="AH167" s="11">
        <v>41459</v>
      </c>
      <c r="AI167" s="10">
        <v>678</v>
      </c>
      <c r="AJ167" s="12">
        <v>143.6</v>
      </c>
      <c r="AK167" s="12">
        <f t="shared" si="10"/>
        <v>21.17994100294985</v>
      </c>
      <c r="AL167" s="12" t="str">
        <f t="shared" si="13"/>
        <v>10% a 25%</v>
      </c>
      <c r="AM167" s="6" t="s">
        <v>995</v>
      </c>
      <c r="AN167" s="6" t="s">
        <v>655</v>
      </c>
      <c r="AO167" s="6" t="s">
        <v>701</v>
      </c>
      <c r="AP167" s="6">
        <v>1</v>
      </c>
      <c r="AQ167" s="6" t="s">
        <v>658</v>
      </c>
      <c r="AR167" s="6" t="s">
        <v>1399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31">
        <v>0</v>
      </c>
      <c r="AY167" s="31">
        <v>0</v>
      </c>
      <c r="AZ167" s="31">
        <v>0</v>
      </c>
      <c r="BA167" s="12">
        <f t="shared" si="11"/>
        <v>0</v>
      </c>
      <c r="BB167" s="31">
        <v>0</v>
      </c>
      <c r="BC167" s="31">
        <v>0</v>
      </c>
      <c r="BD167" s="31">
        <v>0</v>
      </c>
      <c r="BE167" s="31">
        <v>0</v>
      </c>
      <c r="BF167" s="12">
        <f t="shared" si="12"/>
        <v>0</v>
      </c>
      <c r="BG167" s="6">
        <v>0</v>
      </c>
      <c r="BH167" s="6">
        <v>0</v>
      </c>
      <c r="BI167" s="6">
        <v>0</v>
      </c>
      <c r="BJ167" s="6" t="s">
        <v>620</v>
      </c>
      <c r="BK167" s="6">
        <v>0</v>
      </c>
      <c r="BL167" s="6">
        <v>1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</row>
    <row r="168" spans="1:70" ht="52.8" customHeight="1" x14ac:dyDescent="0.3">
      <c r="A168" s="6">
        <v>1521278</v>
      </c>
      <c r="B168" s="6" t="s">
        <v>13</v>
      </c>
      <c r="C168" s="15" t="s">
        <v>1003</v>
      </c>
      <c r="D168" s="6" t="s">
        <v>64</v>
      </c>
      <c r="E168" s="6" t="s">
        <v>15</v>
      </c>
      <c r="F168" s="7">
        <v>42088</v>
      </c>
      <c r="G168" s="7">
        <v>42696</v>
      </c>
      <c r="H168" s="8" t="s">
        <v>42</v>
      </c>
      <c r="I168" s="3" t="s">
        <v>17</v>
      </c>
      <c r="J168" s="3" t="s">
        <v>18</v>
      </c>
      <c r="K168" t="s">
        <v>19</v>
      </c>
      <c r="L168" s="6" t="s">
        <v>696</v>
      </c>
      <c r="M168" s="14" t="s">
        <v>626</v>
      </c>
      <c r="N168" s="6" t="s">
        <v>657</v>
      </c>
      <c r="O168" s="6">
        <v>0</v>
      </c>
      <c r="P168" s="6" t="s">
        <v>714</v>
      </c>
      <c r="Q168" s="35">
        <v>1</v>
      </c>
      <c r="R168" s="35">
        <v>0</v>
      </c>
      <c r="S168" s="35">
        <v>0</v>
      </c>
      <c r="T168" s="35">
        <v>0</v>
      </c>
      <c r="U168" s="35">
        <v>0</v>
      </c>
      <c r="V168" s="35">
        <v>0</v>
      </c>
      <c r="W168" s="35">
        <v>0</v>
      </c>
      <c r="X168" s="6" t="s">
        <v>766</v>
      </c>
      <c r="Y168" s="6">
        <v>1</v>
      </c>
      <c r="Z168" s="6">
        <v>0</v>
      </c>
      <c r="AA168" s="6">
        <v>0</v>
      </c>
      <c r="AB168" s="6">
        <v>0</v>
      </c>
      <c r="AC168" s="6">
        <v>1</v>
      </c>
      <c r="AD168" s="14" t="s">
        <v>43</v>
      </c>
      <c r="AE168" s="13" t="s">
        <v>374</v>
      </c>
      <c r="AF168" s="13" t="s">
        <v>194</v>
      </c>
      <c r="AG168" s="8" t="s">
        <v>194</v>
      </c>
      <c r="AH168" s="11">
        <v>40429</v>
      </c>
      <c r="AI168" s="10">
        <v>510</v>
      </c>
      <c r="AJ168" s="12">
        <v>90</v>
      </c>
      <c r="AK168" s="12">
        <f t="shared" si="10"/>
        <v>17.647058823529413</v>
      </c>
      <c r="AL168" s="12" t="str">
        <f t="shared" si="13"/>
        <v>10% a 25%</v>
      </c>
      <c r="AM168" s="6" t="s">
        <v>786</v>
      </c>
      <c r="AN168" s="6" t="s">
        <v>1455</v>
      </c>
      <c r="AO168" s="6" t="s">
        <v>699</v>
      </c>
      <c r="AP168" s="6">
        <v>0</v>
      </c>
      <c r="AQ168" s="6" t="s">
        <v>613</v>
      </c>
      <c r="AR168" s="6" t="s">
        <v>1399</v>
      </c>
      <c r="AS168" s="6">
        <v>1</v>
      </c>
      <c r="AT168" s="6">
        <v>0</v>
      </c>
      <c r="AU168" s="6">
        <v>0</v>
      </c>
      <c r="AV168" s="6">
        <v>0</v>
      </c>
      <c r="AW168" s="6" t="s">
        <v>686</v>
      </c>
      <c r="AX168" s="31">
        <v>1</v>
      </c>
      <c r="AY168" s="31">
        <v>0</v>
      </c>
      <c r="AZ168" s="31">
        <v>0</v>
      </c>
      <c r="BA168" s="12">
        <f t="shared" si="11"/>
        <v>12.166666666666666</v>
      </c>
      <c r="BB168" s="31">
        <v>10</v>
      </c>
      <c r="BC168" s="31">
        <v>0</v>
      </c>
      <c r="BD168" s="31">
        <v>0</v>
      </c>
      <c r="BE168" s="31">
        <v>0</v>
      </c>
      <c r="BF168" s="12">
        <f t="shared" si="12"/>
        <v>0</v>
      </c>
      <c r="BG168" s="6" t="s">
        <v>636</v>
      </c>
      <c r="BH168" s="6" t="s">
        <v>1394</v>
      </c>
      <c r="BI168" s="6">
        <v>1</v>
      </c>
      <c r="BJ168" s="6" t="s">
        <v>609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</row>
    <row r="169" spans="1:70" ht="52.8" customHeight="1" x14ac:dyDescent="0.3">
      <c r="A169" s="6">
        <v>616885</v>
      </c>
      <c r="B169" s="6" t="s">
        <v>46</v>
      </c>
      <c r="C169" s="15" t="s">
        <v>375</v>
      </c>
      <c r="D169" s="6" t="s">
        <v>55</v>
      </c>
      <c r="E169" s="6" t="s">
        <v>15</v>
      </c>
      <c r="F169" s="7">
        <v>41962</v>
      </c>
      <c r="G169" s="7">
        <v>42681</v>
      </c>
      <c r="H169" s="8" t="s">
        <v>38</v>
      </c>
      <c r="I169" s="3" t="s">
        <v>48</v>
      </c>
      <c r="J169" s="3" t="s">
        <v>18</v>
      </c>
      <c r="K169" t="s">
        <v>19</v>
      </c>
      <c r="L169" s="6" t="s">
        <v>696</v>
      </c>
      <c r="M169" s="14" t="s">
        <v>35</v>
      </c>
      <c r="N169" s="6" t="s">
        <v>657</v>
      </c>
      <c r="O169" s="6">
        <v>0</v>
      </c>
      <c r="P169" s="6" t="s">
        <v>729</v>
      </c>
      <c r="Q169" s="35">
        <v>0</v>
      </c>
      <c r="R169" s="35">
        <v>0</v>
      </c>
      <c r="S169" s="35">
        <v>0</v>
      </c>
      <c r="T169" s="35">
        <v>1</v>
      </c>
      <c r="U169" s="35">
        <v>0</v>
      </c>
      <c r="V169" s="35">
        <v>0</v>
      </c>
      <c r="W169" s="35">
        <v>0</v>
      </c>
      <c r="X169" s="6" t="s">
        <v>801</v>
      </c>
      <c r="Y169" s="6">
        <v>1</v>
      </c>
      <c r="Z169" s="6">
        <v>0</v>
      </c>
      <c r="AA169" s="6">
        <v>0</v>
      </c>
      <c r="AB169" s="6">
        <v>1</v>
      </c>
      <c r="AC169" s="6">
        <v>0</v>
      </c>
      <c r="AD169" s="14" t="s">
        <v>21</v>
      </c>
      <c r="AE169" s="13" t="s">
        <v>376</v>
      </c>
      <c r="AF169" s="13" t="s">
        <v>959</v>
      </c>
      <c r="AG169" s="8" t="s">
        <v>1348</v>
      </c>
      <c r="AH169" s="11">
        <v>41148</v>
      </c>
      <c r="AI169" s="10">
        <v>622</v>
      </c>
      <c r="AJ169" s="12">
        <v>109</v>
      </c>
      <c r="AK169" s="12">
        <f t="shared" si="10"/>
        <v>17.524115755627008</v>
      </c>
      <c r="AL169" s="12" t="str">
        <f t="shared" si="13"/>
        <v>10% a 25%</v>
      </c>
      <c r="AM169" s="6" t="s">
        <v>1004</v>
      </c>
      <c r="AN169" s="6" t="s">
        <v>1455</v>
      </c>
      <c r="AO169" s="6" t="s">
        <v>699</v>
      </c>
      <c r="AP169" s="6">
        <v>0</v>
      </c>
      <c r="AQ169" s="6" t="s">
        <v>628</v>
      </c>
      <c r="AR169" s="6" t="s">
        <v>1400</v>
      </c>
      <c r="AS169" s="6">
        <v>1</v>
      </c>
      <c r="AT169" s="6">
        <v>0</v>
      </c>
      <c r="AU169" s="6">
        <v>0</v>
      </c>
      <c r="AV169" s="6">
        <v>0</v>
      </c>
      <c r="AW169" s="6" t="s">
        <v>652</v>
      </c>
      <c r="AX169" s="31">
        <v>2</v>
      </c>
      <c r="AY169" s="31">
        <v>0</v>
      </c>
      <c r="AZ169" s="31">
        <v>0</v>
      </c>
      <c r="BA169" s="12">
        <f t="shared" si="11"/>
        <v>24.333333333333332</v>
      </c>
      <c r="BB169" s="31">
        <v>10</v>
      </c>
      <c r="BC169" s="31">
        <v>0</v>
      </c>
      <c r="BD169" s="31">
        <v>0</v>
      </c>
      <c r="BE169" s="31">
        <v>0</v>
      </c>
      <c r="BF169" s="12">
        <f t="shared" si="12"/>
        <v>0</v>
      </c>
      <c r="BG169" s="6" t="s">
        <v>636</v>
      </c>
      <c r="BH169" s="6" t="s">
        <v>1394</v>
      </c>
      <c r="BI169" s="6">
        <v>1</v>
      </c>
      <c r="BJ169" s="6" t="s">
        <v>609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</row>
    <row r="170" spans="1:70" ht="52.8" customHeight="1" x14ac:dyDescent="0.3">
      <c r="A170" s="6">
        <v>50643</v>
      </c>
      <c r="B170" s="6" t="s">
        <v>207</v>
      </c>
      <c r="C170" s="15" t="s">
        <v>377</v>
      </c>
      <c r="D170" s="6" t="s">
        <v>106</v>
      </c>
      <c r="E170" s="6" t="s">
        <v>15</v>
      </c>
      <c r="F170" s="7">
        <v>41870</v>
      </c>
      <c r="G170" s="7">
        <v>42583</v>
      </c>
      <c r="H170" s="8" t="s">
        <v>52</v>
      </c>
      <c r="I170" s="3" t="s">
        <v>17</v>
      </c>
      <c r="J170" s="3" t="s">
        <v>18</v>
      </c>
      <c r="K170" t="s">
        <v>19</v>
      </c>
      <c r="L170" s="6" t="s">
        <v>695</v>
      </c>
      <c r="M170" s="14" t="s">
        <v>1005</v>
      </c>
      <c r="N170" s="6" t="s">
        <v>703</v>
      </c>
      <c r="O170" s="6">
        <v>1</v>
      </c>
      <c r="P170" s="6" t="s">
        <v>1015</v>
      </c>
      <c r="Q170" s="35">
        <v>1</v>
      </c>
      <c r="R170" s="35">
        <v>0</v>
      </c>
      <c r="S170" s="35">
        <v>0</v>
      </c>
      <c r="T170" s="35">
        <v>0</v>
      </c>
      <c r="U170" s="35">
        <v>1</v>
      </c>
      <c r="V170" s="35">
        <v>0</v>
      </c>
      <c r="W170" s="35">
        <v>0</v>
      </c>
      <c r="X170" s="6" t="s">
        <v>780</v>
      </c>
      <c r="Y170" s="6">
        <v>1</v>
      </c>
      <c r="Z170" s="6">
        <v>1</v>
      </c>
      <c r="AA170" s="6">
        <v>0</v>
      </c>
      <c r="AB170" s="6">
        <v>0</v>
      </c>
      <c r="AC170" s="6">
        <v>0</v>
      </c>
      <c r="AD170" s="14" t="s">
        <v>21</v>
      </c>
      <c r="AE170" s="13" t="s">
        <v>378</v>
      </c>
      <c r="AF170" s="13" t="s">
        <v>108</v>
      </c>
      <c r="AG170" s="8" t="s">
        <v>1357</v>
      </c>
      <c r="AH170" s="11">
        <v>41620</v>
      </c>
      <c r="AI170" s="10">
        <v>678</v>
      </c>
      <c r="AJ170" s="12">
        <v>113.4</v>
      </c>
      <c r="AK170" s="12">
        <f t="shared" si="10"/>
        <v>16.725663716814161</v>
      </c>
      <c r="AL170" s="12" t="str">
        <f t="shared" si="13"/>
        <v>10% a 25%</v>
      </c>
      <c r="AM170" s="6" t="s">
        <v>663</v>
      </c>
      <c r="AN170" s="6" t="s">
        <v>616</v>
      </c>
      <c r="AO170" s="6" t="s">
        <v>699</v>
      </c>
      <c r="AP170" s="6">
        <v>0</v>
      </c>
      <c r="AQ170" s="6" t="s">
        <v>897</v>
      </c>
      <c r="AR170" s="6" t="s">
        <v>1400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31">
        <v>0</v>
      </c>
      <c r="AY170" s="31">
        <v>0</v>
      </c>
      <c r="AZ170" s="31">
        <v>0</v>
      </c>
      <c r="BA170" s="12">
        <f t="shared" si="11"/>
        <v>0</v>
      </c>
      <c r="BB170" s="31">
        <v>0</v>
      </c>
      <c r="BC170" s="31">
        <v>0</v>
      </c>
      <c r="BD170" s="31">
        <v>0</v>
      </c>
      <c r="BE170" s="31">
        <v>0</v>
      </c>
      <c r="BF170" s="12">
        <f t="shared" si="12"/>
        <v>0</v>
      </c>
      <c r="BG170" s="6">
        <v>0</v>
      </c>
      <c r="BH170" s="6">
        <v>0</v>
      </c>
      <c r="BI170" s="6">
        <v>0</v>
      </c>
      <c r="BJ170" s="6" t="s">
        <v>620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</row>
    <row r="171" spans="1:70" ht="52.8" customHeight="1" x14ac:dyDescent="0.3">
      <c r="A171" s="6">
        <v>621679</v>
      </c>
      <c r="B171" s="6" t="s">
        <v>13</v>
      </c>
      <c r="C171" s="15" t="s">
        <v>1016</v>
      </c>
      <c r="D171" s="6" t="s">
        <v>64</v>
      </c>
      <c r="E171" s="6" t="s">
        <v>15</v>
      </c>
      <c r="F171" s="7">
        <v>41971</v>
      </c>
      <c r="G171" s="7">
        <v>42059</v>
      </c>
      <c r="H171" s="8" t="s">
        <v>52</v>
      </c>
      <c r="I171" s="3" t="s">
        <v>48</v>
      </c>
      <c r="J171" s="3" t="s">
        <v>18</v>
      </c>
      <c r="K171" t="s">
        <v>19</v>
      </c>
      <c r="L171" s="6" t="s">
        <v>695</v>
      </c>
      <c r="M171" s="14" t="s">
        <v>626</v>
      </c>
      <c r="N171" s="6" t="s">
        <v>657</v>
      </c>
      <c r="O171" s="6">
        <v>0</v>
      </c>
      <c r="P171" s="6" t="s">
        <v>698</v>
      </c>
      <c r="Q171" s="35">
        <v>1</v>
      </c>
      <c r="R171" s="35">
        <v>1</v>
      </c>
      <c r="S171" s="35">
        <v>0</v>
      </c>
      <c r="T171" s="35">
        <v>0</v>
      </c>
      <c r="U171" s="35">
        <v>0</v>
      </c>
      <c r="V171" s="35">
        <v>0</v>
      </c>
      <c r="W171" s="35">
        <v>0</v>
      </c>
      <c r="X171" s="6" t="s">
        <v>939</v>
      </c>
      <c r="Y171" s="6">
        <v>1</v>
      </c>
      <c r="Z171" s="6">
        <v>0</v>
      </c>
      <c r="AA171" s="6">
        <v>1</v>
      </c>
      <c r="AB171" s="6">
        <v>0</v>
      </c>
      <c r="AC171" s="6">
        <v>1</v>
      </c>
      <c r="AD171" s="14" t="s">
        <v>43</v>
      </c>
      <c r="AE171" s="13" t="s">
        <v>379</v>
      </c>
      <c r="AF171" s="13" t="s">
        <v>66</v>
      </c>
      <c r="AG171" s="8" t="s">
        <v>1357</v>
      </c>
      <c r="AH171" s="11">
        <v>41123</v>
      </c>
      <c r="AI171" s="10">
        <v>622</v>
      </c>
      <c r="AJ171" s="12">
        <v>83.7</v>
      </c>
      <c r="AK171" s="12">
        <f t="shared" si="10"/>
        <v>13.456591639871382</v>
      </c>
      <c r="AL171" s="12" t="str">
        <f t="shared" si="13"/>
        <v>10% a 25%</v>
      </c>
      <c r="AM171" s="6" t="s">
        <v>1018</v>
      </c>
      <c r="AN171" s="6" t="s">
        <v>655</v>
      </c>
      <c r="AO171" s="6" t="s">
        <v>701</v>
      </c>
      <c r="AP171" s="6">
        <v>1</v>
      </c>
      <c r="AQ171" s="6" t="s">
        <v>682</v>
      </c>
      <c r="AR171" s="6" t="s">
        <v>1400</v>
      </c>
      <c r="AS171" s="6">
        <v>1</v>
      </c>
      <c r="AT171" s="6">
        <v>0</v>
      </c>
      <c r="AU171" s="6">
        <v>0</v>
      </c>
      <c r="AV171" s="6">
        <v>0</v>
      </c>
      <c r="AW171" s="6" t="s">
        <v>1017</v>
      </c>
      <c r="AX171" s="31">
        <v>2</v>
      </c>
      <c r="AY171" s="31">
        <v>9</v>
      </c>
      <c r="AZ171" s="31">
        <v>0</v>
      </c>
      <c r="BA171" s="12">
        <f t="shared" si="11"/>
        <v>33.333333333333336</v>
      </c>
      <c r="BB171" s="31">
        <v>14</v>
      </c>
      <c r="BC171" s="31">
        <v>0</v>
      </c>
      <c r="BD171" s="31">
        <v>0</v>
      </c>
      <c r="BE171" s="31">
        <v>0</v>
      </c>
      <c r="BF171" s="12">
        <f t="shared" si="12"/>
        <v>0</v>
      </c>
      <c r="BG171" s="6" t="s">
        <v>615</v>
      </c>
      <c r="BH171" s="6" t="s">
        <v>1393</v>
      </c>
      <c r="BI171" s="6">
        <v>0</v>
      </c>
      <c r="BJ171" s="6" t="s">
        <v>609</v>
      </c>
      <c r="BK171" s="6">
        <v>1</v>
      </c>
      <c r="BL171" s="6">
        <v>1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</row>
    <row r="172" spans="1:70" ht="52.8" customHeight="1" x14ac:dyDescent="0.3">
      <c r="A172" s="6">
        <v>1483746</v>
      </c>
      <c r="B172" s="6" t="s">
        <v>13</v>
      </c>
      <c r="C172" s="15" t="s">
        <v>1300</v>
      </c>
      <c r="D172" s="6" t="s">
        <v>64</v>
      </c>
      <c r="E172" s="6" t="s">
        <v>15</v>
      </c>
      <c r="F172" s="7">
        <v>42129</v>
      </c>
      <c r="G172" s="7">
        <v>42082</v>
      </c>
      <c r="H172" s="8" t="s">
        <v>59</v>
      </c>
      <c r="I172" s="3" t="s">
        <v>17</v>
      </c>
      <c r="J172" s="3" t="s">
        <v>18</v>
      </c>
      <c r="K172" t="s">
        <v>19</v>
      </c>
      <c r="L172" s="6" t="s">
        <v>696</v>
      </c>
      <c r="M172" s="14" t="s">
        <v>626</v>
      </c>
      <c r="N172" s="6" t="s">
        <v>657</v>
      </c>
      <c r="O172" s="6">
        <v>0</v>
      </c>
      <c r="P172" s="6" t="s">
        <v>707</v>
      </c>
      <c r="Q172" s="35">
        <v>0</v>
      </c>
      <c r="R172" s="35">
        <v>1</v>
      </c>
      <c r="S172" s="35">
        <v>0</v>
      </c>
      <c r="T172" s="35">
        <v>0</v>
      </c>
      <c r="U172" s="35">
        <v>0</v>
      </c>
      <c r="V172" s="35">
        <v>0</v>
      </c>
      <c r="W172" s="35">
        <v>0</v>
      </c>
      <c r="X172" s="6" t="s">
        <v>657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14" t="s">
        <v>43</v>
      </c>
      <c r="AE172" s="13" t="s">
        <v>381</v>
      </c>
      <c r="AF172" s="13" t="s">
        <v>719</v>
      </c>
      <c r="AG172" s="8" t="s">
        <v>719</v>
      </c>
      <c r="AH172" s="11">
        <v>41381</v>
      </c>
      <c r="AI172" s="10">
        <v>678</v>
      </c>
      <c r="AJ172" s="12">
        <v>18</v>
      </c>
      <c r="AK172" s="12">
        <f t="shared" si="10"/>
        <v>2.6548672566371683</v>
      </c>
      <c r="AL172" s="12" t="str">
        <f t="shared" si="13"/>
        <v>Até 10%</v>
      </c>
      <c r="AM172" s="6" t="s">
        <v>624</v>
      </c>
      <c r="AN172" s="6" t="s">
        <v>1452</v>
      </c>
      <c r="AO172" s="6" t="s">
        <v>699</v>
      </c>
      <c r="AP172" s="6">
        <v>0</v>
      </c>
      <c r="AQ172" s="6" t="s">
        <v>613</v>
      </c>
      <c r="AR172" s="6" t="s">
        <v>1399</v>
      </c>
      <c r="AS172" s="6">
        <v>1</v>
      </c>
      <c r="AT172" s="6">
        <v>0</v>
      </c>
      <c r="AU172" s="6">
        <v>0</v>
      </c>
      <c r="AV172" s="6">
        <v>0</v>
      </c>
      <c r="AW172" s="6" t="s">
        <v>1019</v>
      </c>
      <c r="AX172" s="31">
        <v>1</v>
      </c>
      <c r="AY172" s="31">
        <v>2</v>
      </c>
      <c r="AZ172" s="31">
        <v>10</v>
      </c>
      <c r="BA172" s="12">
        <f t="shared" si="11"/>
        <v>14.5</v>
      </c>
      <c r="BB172" s="31">
        <v>11</v>
      </c>
      <c r="BC172" s="31">
        <v>0</v>
      </c>
      <c r="BD172" s="31">
        <v>0</v>
      </c>
      <c r="BE172" s="31">
        <v>0</v>
      </c>
      <c r="BF172" s="12">
        <f t="shared" si="12"/>
        <v>0</v>
      </c>
      <c r="BG172" s="6" t="s">
        <v>615</v>
      </c>
      <c r="BH172" s="6" t="s">
        <v>1393</v>
      </c>
      <c r="BI172" s="6">
        <v>0</v>
      </c>
      <c r="BJ172" s="6" t="s">
        <v>609</v>
      </c>
      <c r="BK172" s="6">
        <v>0</v>
      </c>
      <c r="BL172" s="6">
        <v>1</v>
      </c>
      <c r="BM172" s="6">
        <v>0</v>
      </c>
      <c r="BN172" s="6">
        <v>0</v>
      </c>
      <c r="BO172" s="6" t="s">
        <v>1020</v>
      </c>
      <c r="BP172" s="6" t="s">
        <v>1461</v>
      </c>
      <c r="BQ172" s="6" t="s">
        <v>1459</v>
      </c>
      <c r="BR172" s="6" t="s">
        <v>1461</v>
      </c>
    </row>
    <row r="173" spans="1:70" ht="52.8" customHeight="1" x14ac:dyDescent="0.3">
      <c r="A173" s="6">
        <v>609584</v>
      </c>
      <c r="B173" s="6" t="s">
        <v>46</v>
      </c>
      <c r="C173" s="15" t="s">
        <v>382</v>
      </c>
      <c r="D173" s="6" t="s">
        <v>64</v>
      </c>
      <c r="E173" s="6" t="s">
        <v>15</v>
      </c>
      <c r="F173" s="7">
        <v>41950</v>
      </c>
      <c r="G173" s="7">
        <v>42075</v>
      </c>
      <c r="H173" s="8" t="s">
        <v>16</v>
      </c>
      <c r="I173" s="3" t="s">
        <v>17</v>
      </c>
      <c r="J173" s="3" t="s">
        <v>18</v>
      </c>
      <c r="K173" t="s">
        <v>19</v>
      </c>
      <c r="L173" s="6" t="s">
        <v>695</v>
      </c>
      <c r="M173" s="14" t="s">
        <v>977</v>
      </c>
      <c r="N173" s="6" t="s">
        <v>703</v>
      </c>
      <c r="O173" s="6">
        <v>1</v>
      </c>
      <c r="P173" s="6" t="s">
        <v>1359</v>
      </c>
      <c r="Q173" s="35">
        <v>1</v>
      </c>
      <c r="R173" s="35">
        <v>0</v>
      </c>
      <c r="S173" s="35">
        <v>0</v>
      </c>
      <c r="T173" s="35">
        <v>0</v>
      </c>
      <c r="U173" s="35">
        <v>0</v>
      </c>
      <c r="V173" s="35">
        <v>1</v>
      </c>
      <c r="W173" s="35">
        <v>0</v>
      </c>
      <c r="X173" s="6" t="s">
        <v>761</v>
      </c>
      <c r="Y173" s="6">
        <v>1</v>
      </c>
      <c r="Z173" s="6">
        <v>1</v>
      </c>
      <c r="AA173" s="6">
        <v>0</v>
      </c>
      <c r="AB173" s="6">
        <v>1</v>
      </c>
      <c r="AC173" s="6">
        <v>0</v>
      </c>
      <c r="AD173" s="14" t="s">
        <v>21</v>
      </c>
      <c r="AE173" s="13" t="s">
        <v>383</v>
      </c>
      <c r="AF173" s="13" t="s">
        <v>66</v>
      </c>
      <c r="AG173" s="8" t="s">
        <v>1357</v>
      </c>
      <c r="AH173" s="11">
        <v>39925</v>
      </c>
      <c r="AI173" s="10">
        <v>465</v>
      </c>
      <c r="AJ173" s="12">
        <v>42</v>
      </c>
      <c r="AK173" s="12">
        <f t="shared" si="10"/>
        <v>9.0322580645161281</v>
      </c>
      <c r="AL173" s="12" t="str">
        <f t="shared" si="13"/>
        <v>Até 10%</v>
      </c>
      <c r="AM173" s="6" t="s">
        <v>845</v>
      </c>
      <c r="AN173" s="6" t="s">
        <v>655</v>
      </c>
      <c r="AO173" s="6" t="s">
        <v>701</v>
      </c>
      <c r="AP173" s="6">
        <v>1</v>
      </c>
      <c r="AQ173" s="6" t="s">
        <v>613</v>
      </c>
      <c r="AR173" s="6" t="s">
        <v>1399</v>
      </c>
      <c r="AS173" s="6">
        <v>1</v>
      </c>
      <c r="AT173" s="6">
        <v>0</v>
      </c>
      <c r="AU173" s="6">
        <v>0</v>
      </c>
      <c r="AV173" s="6">
        <v>0</v>
      </c>
      <c r="AW173" s="6" t="s">
        <v>686</v>
      </c>
      <c r="AX173" s="31">
        <v>1</v>
      </c>
      <c r="AY173" s="31">
        <v>0</v>
      </c>
      <c r="AZ173" s="31">
        <v>0</v>
      </c>
      <c r="BA173" s="12">
        <f t="shared" si="11"/>
        <v>12.166666666666666</v>
      </c>
      <c r="BB173" s="31">
        <v>10</v>
      </c>
      <c r="BC173" s="31">
        <v>0</v>
      </c>
      <c r="BD173" s="31">
        <v>0</v>
      </c>
      <c r="BE173" s="31">
        <v>0</v>
      </c>
      <c r="BF173" s="12">
        <f t="shared" si="12"/>
        <v>0</v>
      </c>
      <c r="BG173" s="6" t="s">
        <v>853</v>
      </c>
      <c r="BH173" s="6" t="s">
        <v>1394</v>
      </c>
      <c r="BI173" s="6">
        <v>1</v>
      </c>
      <c r="BJ173" s="6" t="s">
        <v>609</v>
      </c>
      <c r="BK173" s="6">
        <v>1</v>
      </c>
      <c r="BL173" s="6">
        <v>1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</row>
    <row r="174" spans="1:70" ht="52.8" customHeight="1" x14ac:dyDescent="0.3">
      <c r="A174" s="6">
        <v>330711</v>
      </c>
      <c r="B174" s="6" t="s">
        <v>24</v>
      </c>
      <c r="C174" s="15" t="s">
        <v>384</v>
      </c>
      <c r="D174" s="6" t="s">
        <v>106</v>
      </c>
      <c r="E174" s="6" t="s">
        <v>15</v>
      </c>
      <c r="F174" s="7">
        <v>42207</v>
      </c>
      <c r="G174" s="7">
        <v>42633</v>
      </c>
      <c r="H174" s="8" t="s">
        <v>34</v>
      </c>
      <c r="I174" s="3" t="s">
        <v>17</v>
      </c>
      <c r="J174" s="3" t="s">
        <v>18</v>
      </c>
      <c r="K174" t="s">
        <v>19</v>
      </c>
      <c r="L174" s="6" t="s">
        <v>696</v>
      </c>
      <c r="M174" s="14" t="s">
        <v>35</v>
      </c>
      <c r="N174" s="6" t="s">
        <v>657</v>
      </c>
      <c r="O174" s="6">
        <v>0</v>
      </c>
      <c r="P174" s="6" t="s">
        <v>942</v>
      </c>
      <c r="Q174" s="35">
        <v>0</v>
      </c>
      <c r="R174" s="35">
        <v>0</v>
      </c>
      <c r="S174" s="35">
        <v>1</v>
      </c>
      <c r="T174" s="35">
        <v>0</v>
      </c>
      <c r="U174" s="35">
        <v>0</v>
      </c>
      <c r="V174" s="35">
        <v>0</v>
      </c>
      <c r="W174" s="35">
        <v>0</v>
      </c>
      <c r="X174" s="6" t="s">
        <v>801</v>
      </c>
      <c r="Y174" s="6">
        <v>1</v>
      </c>
      <c r="Z174" s="6">
        <v>0</v>
      </c>
      <c r="AA174" s="6">
        <v>0</v>
      </c>
      <c r="AB174" s="6">
        <v>1</v>
      </c>
      <c r="AC174" s="6">
        <v>0</v>
      </c>
      <c r="AD174" s="14" t="s">
        <v>43</v>
      </c>
      <c r="AE174" s="13" t="s">
        <v>385</v>
      </c>
      <c r="AF174" s="13" t="s">
        <v>108</v>
      </c>
      <c r="AG174" s="8" t="s">
        <v>1357</v>
      </c>
      <c r="AH174" s="11">
        <v>41003</v>
      </c>
      <c r="AI174" s="10">
        <v>622</v>
      </c>
      <c r="AJ174" s="12">
        <v>299</v>
      </c>
      <c r="AK174" s="12">
        <f t="shared" si="10"/>
        <v>48.070739549839232</v>
      </c>
      <c r="AL174" s="12" t="str">
        <f t="shared" si="13"/>
        <v>25% a 50%</v>
      </c>
      <c r="AM174" s="6" t="s">
        <v>938</v>
      </c>
      <c r="AN174" s="6" t="s">
        <v>1455</v>
      </c>
      <c r="AO174" s="6" t="s">
        <v>699</v>
      </c>
      <c r="AP174" s="6">
        <v>0</v>
      </c>
      <c r="AQ174" s="6" t="s">
        <v>658</v>
      </c>
      <c r="AR174" s="6" t="s">
        <v>1399</v>
      </c>
      <c r="AS174" s="6">
        <v>0</v>
      </c>
      <c r="AT174" s="6">
        <v>0</v>
      </c>
      <c r="AU174" s="6">
        <v>0</v>
      </c>
      <c r="AV174" s="6">
        <v>0</v>
      </c>
      <c r="AW174" s="6" t="s">
        <v>1024</v>
      </c>
      <c r="AX174" s="31">
        <v>0</v>
      </c>
      <c r="AY174" s="31">
        <v>4</v>
      </c>
      <c r="AZ174" s="31">
        <v>0</v>
      </c>
      <c r="BA174" s="12">
        <f t="shared" si="11"/>
        <v>4</v>
      </c>
      <c r="BB174" s="31">
        <v>4</v>
      </c>
      <c r="BC174" s="31">
        <v>0</v>
      </c>
      <c r="BD174" s="31">
        <v>0</v>
      </c>
      <c r="BE174" s="31">
        <v>0</v>
      </c>
      <c r="BF174" s="12">
        <f t="shared" si="12"/>
        <v>0</v>
      </c>
      <c r="BG174" s="6" t="s">
        <v>636</v>
      </c>
      <c r="BH174" s="6" t="s">
        <v>1394</v>
      </c>
      <c r="BI174" s="6">
        <v>1</v>
      </c>
      <c r="BJ174" s="6" t="s">
        <v>609</v>
      </c>
      <c r="BK174" s="6">
        <v>0</v>
      </c>
      <c r="BL174" s="6">
        <v>0</v>
      </c>
      <c r="BM174" s="6">
        <v>0</v>
      </c>
      <c r="BN174" s="6">
        <v>1</v>
      </c>
      <c r="BO174" s="6" t="s">
        <v>1025</v>
      </c>
      <c r="BP174" s="6" t="s">
        <v>1459</v>
      </c>
      <c r="BQ174" s="6" t="s">
        <v>1461</v>
      </c>
      <c r="BR174" s="6" t="s">
        <v>1461</v>
      </c>
    </row>
    <row r="175" spans="1:70" ht="52.8" customHeight="1" x14ac:dyDescent="0.3">
      <c r="A175" s="6">
        <v>637504</v>
      </c>
      <c r="B175" s="6" t="s">
        <v>46</v>
      </c>
      <c r="C175" s="15" t="s">
        <v>386</v>
      </c>
      <c r="D175" s="6" t="s">
        <v>55</v>
      </c>
      <c r="E175" s="6" t="s">
        <v>15</v>
      </c>
      <c r="F175" s="7">
        <v>42011</v>
      </c>
      <c r="G175" s="7">
        <v>42094</v>
      </c>
      <c r="H175" s="8" t="s">
        <v>52</v>
      </c>
      <c r="I175" s="3" t="s">
        <v>17</v>
      </c>
      <c r="J175" s="3" t="s">
        <v>18</v>
      </c>
      <c r="K175" t="s">
        <v>19</v>
      </c>
      <c r="L175" s="6" t="s">
        <v>695</v>
      </c>
      <c r="M175" s="14" t="s">
        <v>626</v>
      </c>
      <c r="N175" s="6" t="s">
        <v>657</v>
      </c>
      <c r="O175" s="6">
        <v>0</v>
      </c>
      <c r="P175" s="6" t="s">
        <v>698</v>
      </c>
      <c r="Q175" s="35">
        <v>1</v>
      </c>
      <c r="R175" s="35">
        <v>1</v>
      </c>
      <c r="S175" s="35">
        <v>0</v>
      </c>
      <c r="T175" s="35">
        <v>0</v>
      </c>
      <c r="U175" s="35">
        <v>0</v>
      </c>
      <c r="V175" s="35">
        <v>0</v>
      </c>
      <c r="W175" s="35">
        <v>0</v>
      </c>
      <c r="X175" s="6" t="s">
        <v>939</v>
      </c>
      <c r="Y175" s="6">
        <v>1</v>
      </c>
      <c r="Z175" s="6">
        <v>0</v>
      </c>
      <c r="AA175" s="6">
        <v>1</v>
      </c>
      <c r="AB175" s="6">
        <v>0</v>
      </c>
      <c r="AC175" s="6">
        <v>1</v>
      </c>
      <c r="AD175" s="14" t="s">
        <v>21</v>
      </c>
      <c r="AE175" s="13" t="s">
        <v>387</v>
      </c>
      <c r="AF175" s="13" t="s">
        <v>901</v>
      </c>
      <c r="AG175" s="8" t="s">
        <v>1348</v>
      </c>
      <c r="AH175" s="11">
        <v>41478</v>
      </c>
      <c r="AI175" s="10">
        <v>678</v>
      </c>
      <c r="AJ175" s="12">
        <v>450</v>
      </c>
      <c r="AK175" s="12">
        <f t="shared" si="10"/>
        <v>66.371681415929203</v>
      </c>
      <c r="AL175" s="12" t="str">
        <f t="shared" si="13"/>
        <v>Acima de 50%</v>
      </c>
      <c r="AM175" s="6" t="s">
        <v>679</v>
      </c>
      <c r="AN175" s="6" t="s">
        <v>1455</v>
      </c>
      <c r="AO175" s="6" t="s">
        <v>701</v>
      </c>
      <c r="AP175" s="6">
        <v>1</v>
      </c>
      <c r="AQ175" s="6" t="s">
        <v>613</v>
      </c>
      <c r="AR175" s="6" t="s">
        <v>1399</v>
      </c>
      <c r="AS175" s="6">
        <v>1</v>
      </c>
      <c r="AT175" s="6">
        <v>0</v>
      </c>
      <c r="AU175" s="6">
        <v>0</v>
      </c>
      <c r="AV175" s="6">
        <v>0</v>
      </c>
      <c r="AW175" s="6" t="s">
        <v>1026</v>
      </c>
      <c r="AX175" s="31">
        <v>1</v>
      </c>
      <c r="AY175" s="31">
        <v>4</v>
      </c>
      <c r="AZ175" s="31">
        <v>0</v>
      </c>
      <c r="BA175" s="12">
        <f t="shared" si="11"/>
        <v>16.166666666666668</v>
      </c>
      <c r="BB175" s="31">
        <v>15</v>
      </c>
      <c r="BC175" s="31">
        <v>0</v>
      </c>
      <c r="BD175" s="31">
        <v>0</v>
      </c>
      <c r="BE175" s="31">
        <v>0</v>
      </c>
      <c r="BF175" s="12">
        <f t="shared" si="12"/>
        <v>0</v>
      </c>
      <c r="BG175" s="6" t="s">
        <v>615</v>
      </c>
      <c r="BH175" s="6" t="s">
        <v>1393</v>
      </c>
      <c r="BI175" s="6">
        <v>0</v>
      </c>
      <c r="BJ175" s="6" t="s">
        <v>609</v>
      </c>
      <c r="BK175" s="6">
        <v>1</v>
      </c>
      <c r="BL175" s="6">
        <v>1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</row>
    <row r="176" spans="1:70" ht="52.8" customHeight="1" x14ac:dyDescent="0.3">
      <c r="A176" s="6">
        <v>610955</v>
      </c>
      <c r="B176" s="6" t="s">
        <v>46</v>
      </c>
      <c r="C176" s="15" t="s">
        <v>388</v>
      </c>
      <c r="D176" s="6" t="s">
        <v>14</v>
      </c>
      <c r="E176" s="6" t="s">
        <v>15</v>
      </c>
      <c r="F176" s="7">
        <v>41953</v>
      </c>
      <c r="G176" s="7">
        <v>42118</v>
      </c>
      <c r="H176" s="8" t="s">
        <v>118</v>
      </c>
      <c r="I176" s="3" t="s">
        <v>17</v>
      </c>
      <c r="J176" s="3" t="s">
        <v>18</v>
      </c>
      <c r="K176" t="s">
        <v>19</v>
      </c>
      <c r="L176" s="6" t="s">
        <v>696</v>
      </c>
      <c r="M176" s="14" t="s">
        <v>626</v>
      </c>
      <c r="N176" s="6" t="s">
        <v>657</v>
      </c>
      <c r="O176" s="6">
        <v>0</v>
      </c>
      <c r="P176" s="6" t="s">
        <v>1029</v>
      </c>
      <c r="Q176" s="35">
        <v>0</v>
      </c>
      <c r="R176" s="35">
        <v>0</v>
      </c>
      <c r="S176" s="35">
        <v>1</v>
      </c>
      <c r="T176" s="35">
        <v>0</v>
      </c>
      <c r="U176" s="35">
        <v>0</v>
      </c>
      <c r="V176" s="35">
        <v>0</v>
      </c>
      <c r="W176" s="35">
        <v>0</v>
      </c>
      <c r="X176" s="6" t="s">
        <v>761</v>
      </c>
      <c r="Y176" s="6">
        <v>1</v>
      </c>
      <c r="Z176" s="6">
        <v>1</v>
      </c>
      <c r="AA176" s="6">
        <v>0</v>
      </c>
      <c r="AB176" s="6">
        <v>1</v>
      </c>
      <c r="AC176" s="6">
        <v>0</v>
      </c>
      <c r="AD176" s="14" t="s">
        <v>21</v>
      </c>
      <c r="AE176" s="13" t="s">
        <v>389</v>
      </c>
      <c r="AF176" s="13" t="s">
        <v>23</v>
      </c>
      <c r="AG176" s="8" t="s">
        <v>1357</v>
      </c>
      <c r="AH176" s="11">
        <v>40530</v>
      </c>
      <c r="AI176" s="10">
        <v>510</v>
      </c>
      <c r="AJ176" s="12">
        <v>238.9</v>
      </c>
      <c r="AK176" s="12">
        <f t="shared" si="10"/>
        <v>46.843137254901961</v>
      </c>
      <c r="AL176" s="12" t="str">
        <f t="shared" si="13"/>
        <v>25% a 50%</v>
      </c>
      <c r="AM176" s="6" t="s">
        <v>1028</v>
      </c>
      <c r="AN176" s="6" t="s">
        <v>616</v>
      </c>
      <c r="AO176" s="6" t="s">
        <v>699</v>
      </c>
      <c r="AP176" s="6">
        <v>0</v>
      </c>
      <c r="AQ176" s="6" t="s">
        <v>658</v>
      </c>
      <c r="AR176" s="6" t="s">
        <v>1399</v>
      </c>
      <c r="AS176" s="6">
        <v>0</v>
      </c>
      <c r="AT176" s="6">
        <v>0</v>
      </c>
      <c r="AU176" s="6">
        <v>0</v>
      </c>
      <c r="AV176" s="6">
        <v>0</v>
      </c>
      <c r="AW176" s="6" t="s">
        <v>1027</v>
      </c>
      <c r="AX176" s="31">
        <v>0</v>
      </c>
      <c r="AY176" s="31">
        <v>8</v>
      </c>
      <c r="AZ176" s="31">
        <v>12</v>
      </c>
      <c r="BA176" s="12">
        <f t="shared" si="11"/>
        <v>8.4</v>
      </c>
      <c r="BB176" s="31">
        <v>6</v>
      </c>
      <c r="BC176" s="31">
        <v>0</v>
      </c>
      <c r="BD176" s="31">
        <v>0</v>
      </c>
      <c r="BE176" s="31">
        <v>0</v>
      </c>
      <c r="BF176" s="12">
        <f t="shared" si="12"/>
        <v>0</v>
      </c>
      <c r="BG176" s="6" t="s">
        <v>615</v>
      </c>
      <c r="BH176" s="6" t="s">
        <v>1393</v>
      </c>
      <c r="BI176" s="6">
        <v>0</v>
      </c>
      <c r="BJ176" s="6" t="s">
        <v>609</v>
      </c>
      <c r="BK176" s="6">
        <v>1</v>
      </c>
      <c r="BL176" s="6">
        <v>1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</row>
    <row r="177" spans="1:70" ht="52.8" customHeight="1" x14ac:dyDescent="0.3">
      <c r="A177" s="6">
        <v>678125</v>
      </c>
      <c r="B177" s="6" t="s">
        <v>46</v>
      </c>
      <c r="C177" s="15" t="s">
        <v>390</v>
      </c>
      <c r="D177" s="6" t="s">
        <v>106</v>
      </c>
      <c r="E177" s="6" t="s">
        <v>15</v>
      </c>
      <c r="F177" s="7">
        <v>42088</v>
      </c>
      <c r="G177" s="7">
        <v>42215</v>
      </c>
      <c r="H177" s="8" t="s">
        <v>16</v>
      </c>
      <c r="I177" s="3" t="s">
        <v>17</v>
      </c>
      <c r="J177" s="3" t="s">
        <v>18</v>
      </c>
      <c r="K177" t="s">
        <v>19</v>
      </c>
      <c r="L177" s="6" t="s">
        <v>695</v>
      </c>
      <c r="M177" s="14" t="s">
        <v>724</v>
      </c>
      <c r="N177" s="6" t="s">
        <v>657</v>
      </c>
      <c r="O177" s="6">
        <v>0</v>
      </c>
      <c r="P177" s="6" t="s">
        <v>1029</v>
      </c>
      <c r="Q177" s="35">
        <v>0</v>
      </c>
      <c r="R177" s="35">
        <v>0</v>
      </c>
      <c r="S177" s="35">
        <v>1</v>
      </c>
      <c r="T177" s="35">
        <v>0</v>
      </c>
      <c r="U177" s="35">
        <v>0</v>
      </c>
      <c r="V177" s="35">
        <v>0</v>
      </c>
      <c r="W177" s="35">
        <v>0</v>
      </c>
      <c r="X177" s="6" t="s">
        <v>761</v>
      </c>
      <c r="Y177" s="6">
        <v>1</v>
      </c>
      <c r="Z177" s="6">
        <v>1</v>
      </c>
      <c r="AA177" s="6">
        <v>0</v>
      </c>
      <c r="AB177" s="6">
        <v>1</v>
      </c>
      <c r="AC177" s="6">
        <v>0</v>
      </c>
      <c r="AD177" s="14" t="s">
        <v>21</v>
      </c>
      <c r="AE177" s="13" t="s">
        <v>319</v>
      </c>
      <c r="AF177" s="13" t="s">
        <v>108</v>
      </c>
      <c r="AG177" s="8" t="s">
        <v>1357</v>
      </c>
      <c r="AH177" s="11">
        <v>41129</v>
      </c>
      <c r="AI177" s="10">
        <v>622</v>
      </c>
      <c r="AJ177" s="12">
        <v>180</v>
      </c>
      <c r="AK177" s="12">
        <f t="shared" si="10"/>
        <v>28.938906752411576</v>
      </c>
      <c r="AL177" s="12" t="str">
        <f t="shared" si="13"/>
        <v>25% a 50%</v>
      </c>
      <c r="AM177" s="6" t="s">
        <v>618</v>
      </c>
      <c r="AN177" s="6" t="s">
        <v>618</v>
      </c>
      <c r="AO177" s="6" t="s">
        <v>701</v>
      </c>
      <c r="AP177" s="6">
        <v>1</v>
      </c>
      <c r="AQ177" s="6" t="s">
        <v>613</v>
      </c>
      <c r="AR177" s="6" t="s">
        <v>1399</v>
      </c>
      <c r="AS177" s="6">
        <v>1</v>
      </c>
      <c r="AT177" s="6">
        <v>0</v>
      </c>
      <c r="AU177" s="6">
        <v>0</v>
      </c>
      <c r="AV177" s="6">
        <v>0</v>
      </c>
      <c r="AW177" s="6" t="s">
        <v>686</v>
      </c>
      <c r="AX177" s="31">
        <v>1</v>
      </c>
      <c r="AY177" s="31">
        <v>0</v>
      </c>
      <c r="AZ177" s="31">
        <v>0</v>
      </c>
      <c r="BA177" s="12">
        <f t="shared" si="11"/>
        <v>12.166666666666666</v>
      </c>
      <c r="BB177" s="31">
        <v>10</v>
      </c>
      <c r="BC177" s="31">
        <v>0</v>
      </c>
      <c r="BD177" s="31">
        <v>0</v>
      </c>
      <c r="BE177" s="31">
        <v>0</v>
      </c>
      <c r="BF177" s="12">
        <f t="shared" si="12"/>
        <v>0</v>
      </c>
      <c r="BG177" s="6" t="s">
        <v>637</v>
      </c>
      <c r="BH177" s="6" t="s">
        <v>1394</v>
      </c>
      <c r="BI177" s="6">
        <v>0</v>
      </c>
      <c r="BJ177" s="6" t="s">
        <v>609</v>
      </c>
      <c r="BK177" s="6">
        <v>0</v>
      </c>
      <c r="BL177" s="6">
        <v>0</v>
      </c>
      <c r="BM177" s="6">
        <v>0</v>
      </c>
      <c r="BN177" s="6">
        <v>1</v>
      </c>
      <c r="BO177" s="6">
        <v>0</v>
      </c>
      <c r="BP177" s="6">
        <v>0</v>
      </c>
      <c r="BQ177" s="6">
        <v>0</v>
      </c>
      <c r="BR177" s="6">
        <v>0</v>
      </c>
    </row>
    <row r="178" spans="1:70" ht="52.8" customHeight="1" x14ac:dyDescent="0.3">
      <c r="A178" s="6">
        <v>336344</v>
      </c>
      <c r="B178" s="6" t="s">
        <v>24</v>
      </c>
      <c r="C178" s="15" t="s">
        <v>391</v>
      </c>
      <c r="D178" s="6" t="s">
        <v>106</v>
      </c>
      <c r="E178" s="6" t="s">
        <v>15</v>
      </c>
      <c r="F178" s="7">
        <v>42262</v>
      </c>
      <c r="G178" s="7">
        <v>42485</v>
      </c>
      <c r="H178" s="8" t="s">
        <v>38</v>
      </c>
      <c r="I178" s="3" t="s">
        <v>17</v>
      </c>
      <c r="J178" s="3" t="s">
        <v>18</v>
      </c>
      <c r="K178" t="s">
        <v>19</v>
      </c>
      <c r="L178" s="6" t="s">
        <v>696</v>
      </c>
      <c r="M178" s="14" t="s">
        <v>848</v>
      </c>
      <c r="N178" s="6" t="s">
        <v>657</v>
      </c>
      <c r="O178" s="6">
        <v>0</v>
      </c>
      <c r="P178" s="6" t="s">
        <v>1029</v>
      </c>
      <c r="Q178" s="35">
        <v>0</v>
      </c>
      <c r="R178" s="35">
        <v>0</v>
      </c>
      <c r="S178" s="35">
        <v>1</v>
      </c>
      <c r="T178" s="35">
        <v>0</v>
      </c>
      <c r="U178" s="35">
        <v>0</v>
      </c>
      <c r="V178" s="35">
        <v>0</v>
      </c>
      <c r="W178" s="35">
        <v>0</v>
      </c>
      <c r="X178" s="6" t="s">
        <v>801</v>
      </c>
      <c r="Y178" s="6">
        <v>1</v>
      </c>
      <c r="Z178" s="6">
        <v>0</v>
      </c>
      <c r="AA178" s="6">
        <v>0</v>
      </c>
      <c r="AB178" s="6">
        <v>1</v>
      </c>
      <c r="AC178" s="6">
        <v>0</v>
      </c>
      <c r="AD178" s="14" t="s">
        <v>21</v>
      </c>
      <c r="AE178" s="13" t="s">
        <v>392</v>
      </c>
      <c r="AF178" s="13" t="s">
        <v>108</v>
      </c>
      <c r="AG178" s="8" t="s">
        <v>1357</v>
      </c>
      <c r="AH178" s="11">
        <v>40783</v>
      </c>
      <c r="AI178" s="10">
        <v>545</v>
      </c>
      <c r="AJ178" s="12">
        <v>40</v>
      </c>
      <c r="AK178" s="12">
        <f t="shared" si="10"/>
        <v>7.3394495412844041</v>
      </c>
      <c r="AL178" s="12" t="str">
        <f t="shared" si="13"/>
        <v>Até 10%</v>
      </c>
      <c r="AM178" s="6" t="s">
        <v>1036</v>
      </c>
      <c r="AN178" s="6" t="s">
        <v>1454</v>
      </c>
      <c r="AO178" s="6" t="s">
        <v>699</v>
      </c>
      <c r="AP178" s="6">
        <v>0</v>
      </c>
      <c r="AQ178" s="6" t="s">
        <v>613</v>
      </c>
      <c r="AR178" s="6" t="s">
        <v>1399</v>
      </c>
      <c r="AS178" s="6">
        <v>1</v>
      </c>
      <c r="AT178" s="6">
        <v>0</v>
      </c>
      <c r="AU178" s="6">
        <v>0</v>
      </c>
      <c r="AV178" s="6">
        <v>0</v>
      </c>
      <c r="AW178" s="6" t="s">
        <v>1035</v>
      </c>
      <c r="AX178" s="31">
        <v>1</v>
      </c>
      <c r="AY178" s="31">
        <v>6</v>
      </c>
      <c r="AZ178" s="31">
        <v>20</v>
      </c>
      <c r="BA178" s="12">
        <f t="shared" si="11"/>
        <v>18.833333333333332</v>
      </c>
      <c r="BB178" s="31">
        <v>14</v>
      </c>
      <c r="BC178" s="31">
        <v>0</v>
      </c>
      <c r="BD178" s="31">
        <v>0</v>
      </c>
      <c r="BE178" s="31">
        <v>0</v>
      </c>
      <c r="BF178" s="12">
        <f t="shared" si="12"/>
        <v>0</v>
      </c>
      <c r="BG178" s="6" t="s">
        <v>615</v>
      </c>
      <c r="BH178" s="6" t="s">
        <v>1393</v>
      </c>
      <c r="BI178" s="6">
        <v>0</v>
      </c>
      <c r="BJ178" s="6" t="s">
        <v>609</v>
      </c>
      <c r="BK178" s="6">
        <v>1</v>
      </c>
      <c r="BL178" s="6">
        <v>1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</row>
    <row r="179" spans="1:70" ht="52.8" customHeight="1" x14ac:dyDescent="0.3">
      <c r="A179" s="6">
        <v>685494</v>
      </c>
      <c r="B179" s="6" t="s">
        <v>46</v>
      </c>
      <c r="C179" s="15" t="s">
        <v>393</v>
      </c>
      <c r="D179" s="6" t="s">
        <v>64</v>
      </c>
      <c r="E179" s="6" t="s">
        <v>15</v>
      </c>
      <c r="F179" s="7">
        <v>42109</v>
      </c>
      <c r="G179" s="7">
        <v>42125</v>
      </c>
      <c r="H179" s="8" t="s">
        <v>16</v>
      </c>
      <c r="I179" s="3" t="s">
        <v>17</v>
      </c>
      <c r="J179" s="3" t="s">
        <v>18</v>
      </c>
      <c r="K179" t="s">
        <v>19</v>
      </c>
      <c r="L179" s="6" t="s">
        <v>695</v>
      </c>
      <c r="M179" s="14" t="s">
        <v>724</v>
      </c>
      <c r="N179" s="6" t="s">
        <v>657</v>
      </c>
      <c r="O179" s="6">
        <v>0</v>
      </c>
      <c r="P179" s="6" t="s">
        <v>1038</v>
      </c>
      <c r="Q179" s="35">
        <v>0</v>
      </c>
      <c r="R179" s="35">
        <v>0</v>
      </c>
      <c r="S179" s="35">
        <v>1</v>
      </c>
      <c r="T179" s="35">
        <v>1</v>
      </c>
      <c r="U179" s="35">
        <v>0</v>
      </c>
      <c r="V179" s="35">
        <v>0</v>
      </c>
      <c r="W179" s="35">
        <v>0</v>
      </c>
      <c r="X179" s="6" t="s">
        <v>937</v>
      </c>
      <c r="Y179" s="6">
        <v>1</v>
      </c>
      <c r="Z179" s="6">
        <v>0</v>
      </c>
      <c r="AA179" s="6">
        <v>1</v>
      </c>
      <c r="AB179" s="6">
        <v>1</v>
      </c>
      <c r="AC179" s="6">
        <v>0</v>
      </c>
      <c r="AD179" s="14" t="s">
        <v>21</v>
      </c>
      <c r="AE179" s="13" t="s">
        <v>394</v>
      </c>
      <c r="AF179" s="13" t="s">
        <v>66</v>
      </c>
      <c r="AG179" s="8" t="s">
        <v>1357</v>
      </c>
      <c r="AH179" s="11">
        <v>40720</v>
      </c>
      <c r="AI179" s="10">
        <v>545</v>
      </c>
      <c r="AJ179" s="12">
        <v>0</v>
      </c>
      <c r="AK179" s="12">
        <f t="shared" si="10"/>
        <v>0</v>
      </c>
      <c r="AL179" s="12" t="str">
        <f t="shared" si="13"/>
        <v>Não Informado</v>
      </c>
      <c r="AM179" s="6" t="s">
        <v>1037</v>
      </c>
      <c r="AN179" s="6" t="s">
        <v>1455</v>
      </c>
      <c r="AO179" s="6" t="s">
        <v>701</v>
      </c>
      <c r="AP179" s="6">
        <v>1</v>
      </c>
      <c r="AQ179" s="6" t="s">
        <v>902</v>
      </c>
      <c r="AR179" s="6" t="s">
        <v>1399</v>
      </c>
      <c r="AS179" s="6">
        <v>1</v>
      </c>
      <c r="AT179" s="6">
        <v>0</v>
      </c>
      <c r="AU179" s="6">
        <v>1</v>
      </c>
      <c r="AV179" s="6">
        <v>0</v>
      </c>
      <c r="AW179" s="6" t="s">
        <v>1039</v>
      </c>
      <c r="AX179" s="31">
        <v>1</v>
      </c>
      <c r="AY179" s="31">
        <v>2</v>
      </c>
      <c r="AZ179" s="31">
        <v>0</v>
      </c>
      <c r="BA179" s="12">
        <f t="shared" si="11"/>
        <v>14.166666666666666</v>
      </c>
      <c r="BB179" s="31">
        <v>12</v>
      </c>
      <c r="BC179" s="31">
        <v>0</v>
      </c>
      <c r="BD179" s="31">
        <v>0</v>
      </c>
      <c r="BE179" s="31">
        <v>0</v>
      </c>
      <c r="BF179" s="12">
        <f t="shared" si="12"/>
        <v>0</v>
      </c>
      <c r="BG179" s="6" t="s">
        <v>615</v>
      </c>
      <c r="BH179" s="6" t="s">
        <v>1393</v>
      </c>
      <c r="BI179" s="6">
        <v>0</v>
      </c>
      <c r="BJ179" s="6" t="s">
        <v>609</v>
      </c>
      <c r="BK179" s="6">
        <v>1</v>
      </c>
      <c r="BL179" s="6">
        <v>1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</row>
    <row r="180" spans="1:70" ht="52.8" customHeight="1" x14ac:dyDescent="0.3">
      <c r="A180" s="6">
        <v>639892</v>
      </c>
      <c r="B180" s="6" t="s">
        <v>46</v>
      </c>
      <c r="C180" s="15" t="s">
        <v>395</v>
      </c>
      <c r="D180" s="6" t="s">
        <v>47</v>
      </c>
      <c r="E180" s="6" t="s">
        <v>15</v>
      </c>
      <c r="F180" s="7">
        <v>42017</v>
      </c>
      <c r="G180" s="7">
        <v>42583</v>
      </c>
      <c r="H180" s="8" t="s">
        <v>42</v>
      </c>
      <c r="I180" s="3" t="s">
        <v>17</v>
      </c>
      <c r="J180" s="3" t="s">
        <v>18</v>
      </c>
      <c r="K180" t="s">
        <v>19</v>
      </c>
      <c r="L180" s="6" t="s">
        <v>696</v>
      </c>
      <c r="M180" s="14" t="s">
        <v>977</v>
      </c>
      <c r="N180" s="6" t="s">
        <v>703</v>
      </c>
      <c r="O180" s="6">
        <v>1</v>
      </c>
      <c r="P180" s="6" t="s">
        <v>781</v>
      </c>
      <c r="Q180" s="35">
        <v>1</v>
      </c>
      <c r="R180" s="35">
        <v>0</v>
      </c>
      <c r="S180" s="35">
        <v>0</v>
      </c>
      <c r="T180" s="35">
        <v>0</v>
      </c>
      <c r="U180" s="35">
        <v>1</v>
      </c>
      <c r="V180" s="35">
        <v>0</v>
      </c>
      <c r="W180" s="35">
        <v>0</v>
      </c>
      <c r="X180" s="6" t="s">
        <v>657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14" t="s">
        <v>21</v>
      </c>
      <c r="AE180" s="13" t="s">
        <v>396</v>
      </c>
      <c r="AF180" s="13" t="s">
        <v>92</v>
      </c>
      <c r="AG180" s="8" t="s">
        <v>1357</v>
      </c>
      <c r="AH180" s="11">
        <v>41364</v>
      </c>
      <c r="AI180" s="10">
        <v>678</v>
      </c>
      <c r="AJ180" s="12">
        <v>93.86</v>
      </c>
      <c r="AK180" s="12">
        <f t="shared" si="10"/>
        <v>13.843657817109145</v>
      </c>
      <c r="AL180" s="12" t="str">
        <f t="shared" si="13"/>
        <v>10% a 25%</v>
      </c>
      <c r="AM180" s="6" t="s">
        <v>944</v>
      </c>
      <c r="AN180" s="6" t="s">
        <v>616</v>
      </c>
      <c r="AO180" s="6" t="s">
        <v>699</v>
      </c>
      <c r="AP180" s="6">
        <v>0</v>
      </c>
      <c r="AQ180" s="6" t="s">
        <v>1094</v>
      </c>
      <c r="AR180" s="6" t="s">
        <v>1399</v>
      </c>
      <c r="AS180" s="6">
        <v>1</v>
      </c>
      <c r="AT180" s="6">
        <v>0</v>
      </c>
      <c r="AU180" s="6">
        <v>0</v>
      </c>
      <c r="AV180" s="6">
        <v>2</v>
      </c>
      <c r="AW180" s="6">
        <v>0</v>
      </c>
      <c r="AX180" s="31">
        <v>0</v>
      </c>
      <c r="AY180" s="31">
        <v>0</v>
      </c>
      <c r="AZ180" s="31">
        <v>0</v>
      </c>
      <c r="BA180" s="12">
        <f t="shared" si="11"/>
        <v>0</v>
      </c>
      <c r="BB180" s="31">
        <v>0</v>
      </c>
      <c r="BC180" s="31">
        <v>0</v>
      </c>
      <c r="BD180" s="31">
        <v>0</v>
      </c>
      <c r="BE180" s="31">
        <v>0</v>
      </c>
      <c r="BF180" s="12">
        <f t="shared" si="12"/>
        <v>0</v>
      </c>
      <c r="BG180" s="6">
        <v>0</v>
      </c>
      <c r="BH180" s="6">
        <v>0</v>
      </c>
      <c r="BI180" s="6">
        <v>0</v>
      </c>
      <c r="BJ180" s="6" t="s">
        <v>620</v>
      </c>
      <c r="BK180" s="6">
        <v>0</v>
      </c>
      <c r="BL180" s="6">
        <v>0</v>
      </c>
      <c r="BM180" s="6">
        <v>0</v>
      </c>
      <c r="BN180" s="6">
        <v>0</v>
      </c>
      <c r="BO180" s="6" t="s">
        <v>1040</v>
      </c>
      <c r="BP180" s="6" t="s">
        <v>1459</v>
      </c>
      <c r="BQ180" s="6" t="s">
        <v>1460</v>
      </c>
      <c r="BR180" s="6" t="s">
        <v>1459</v>
      </c>
    </row>
    <row r="181" spans="1:70" ht="52.8" customHeight="1" x14ac:dyDescent="0.3">
      <c r="A181" s="6">
        <v>562223</v>
      </c>
      <c r="B181" s="6" t="s">
        <v>46</v>
      </c>
      <c r="C181" s="15" t="s">
        <v>397</v>
      </c>
      <c r="D181" s="6" t="s">
        <v>41</v>
      </c>
      <c r="E181" s="6" t="s">
        <v>15</v>
      </c>
      <c r="F181" s="7">
        <v>41866</v>
      </c>
      <c r="G181" s="7">
        <v>41948</v>
      </c>
      <c r="H181" s="8" t="s">
        <v>77</v>
      </c>
      <c r="I181" s="3" t="s">
        <v>48</v>
      </c>
      <c r="J181" s="3" t="s">
        <v>18</v>
      </c>
      <c r="K181" t="s">
        <v>19</v>
      </c>
      <c r="L181" s="6" t="s">
        <v>696</v>
      </c>
      <c r="M181" s="14" t="s">
        <v>626</v>
      </c>
      <c r="N181" s="6" t="s">
        <v>657</v>
      </c>
      <c r="O181" s="6">
        <v>0</v>
      </c>
      <c r="P181" s="6" t="s">
        <v>1041</v>
      </c>
      <c r="Q181" s="35">
        <v>1</v>
      </c>
      <c r="R181" s="35">
        <v>0</v>
      </c>
      <c r="S181" s="35">
        <v>1</v>
      </c>
      <c r="T181" s="35">
        <v>0</v>
      </c>
      <c r="U181" s="36"/>
      <c r="V181" s="36"/>
      <c r="W181" s="36"/>
      <c r="X181" s="6" t="s">
        <v>657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14" t="s">
        <v>21</v>
      </c>
      <c r="AE181" s="13" t="s">
        <v>398</v>
      </c>
      <c r="AF181" s="13" t="s">
        <v>947</v>
      </c>
      <c r="AG181" s="8" t="s">
        <v>1357</v>
      </c>
      <c r="AH181" s="11">
        <v>41049</v>
      </c>
      <c r="AI181" s="10">
        <v>622</v>
      </c>
      <c r="AJ181" s="12">
        <v>1939</v>
      </c>
      <c r="AK181" s="12">
        <f t="shared" si="10"/>
        <v>311.7363344051447</v>
      </c>
      <c r="AL181" s="12" t="str">
        <f t="shared" si="13"/>
        <v>Acima de 50%</v>
      </c>
      <c r="AM181" s="6" t="s">
        <v>1042</v>
      </c>
      <c r="AN181" s="6" t="s">
        <v>1454</v>
      </c>
      <c r="AO181" s="6" t="s">
        <v>699</v>
      </c>
      <c r="AP181" s="6">
        <v>0</v>
      </c>
      <c r="AQ181" s="6" t="s">
        <v>1043</v>
      </c>
      <c r="AR181" s="6" t="s">
        <v>1400</v>
      </c>
      <c r="AS181" s="6">
        <v>1</v>
      </c>
      <c r="AT181" s="6">
        <v>0</v>
      </c>
      <c r="AU181" s="6">
        <v>1</v>
      </c>
      <c r="AV181" s="6">
        <v>0</v>
      </c>
      <c r="AW181" s="6">
        <v>0</v>
      </c>
      <c r="AX181" s="31">
        <v>0</v>
      </c>
      <c r="AY181" s="31">
        <v>0</v>
      </c>
      <c r="AZ181" s="31">
        <v>0</v>
      </c>
      <c r="BA181" s="12">
        <f t="shared" si="11"/>
        <v>0</v>
      </c>
      <c r="BB181" s="31">
        <v>0</v>
      </c>
      <c r="BC181" s="31">
        <v>0</v>
      </c>
      <c r="BD181" s="31">
        <v>0</v>
      </c>
      <c r="BE181" s="31">
        <v>0</v>
      </c>
      <c r="BF181" s="12">
        <f t="shared" si="12"/>
        <v>0</v>
      </c>
      <c r="BG181" s="6">
        <v>0</v>
      </c>
      <c r="BH181" s="6">
        <v>0</v>
      </c>
      <c r="BI181" s="6">
        <v>0</v>
      </c>
      <c r="BJ181" s="6" t="s">
        <v>620</v>
      </c>
      <c r="BK181" s="6">
        <v>0</v>
      </c>
      <c r="BL181" s="6">
        <v>0</v>
      </c>
      <c r="BM181" s="6">
        <v>1</v>
      </c>
      <c r="BN181" s="6">
        <v>0</v>
      </c>
      <c r="BO181" s="6" t="s">
        <v>1034</v>
      </c>
      <c r="BP181" s="14" t="s">
        <v>1459</v>
      </c>
      <c r="BQ181" s="14" t="s">
        <v>1460</v>
      </c>
      <c r="BR181" s="14" t="s">
        <v>1460</v>
      </c>
    </row>
    <row r="182" spans="1:70" ht="52.8" customHeight="1" x14ac:dyDescent="0.3">
      <c r="A182" s="6">
        <v>557424</v>
      </c>
      <c r="B182" s="6" t="s">
        <v>13</v>
      </c>
      <c r="C182" s="15" t="s">
        <v>1045</v>
      </c>
      <c r="D182" s="6" t="s">
        <v>64</v>
      </c>
      <c r="E182" s="6" t="s">
        <v>15</v>
      </c>
      <c r="F182" s="7">
        <v>41858</v>
      </c>
      <c r="G182" s="7">
        <v>42551</v>
      </c>
      <c r="H182" s="8" t="s">
        <v>16</v>
      </c>
      <c r="I182" s="3" t="s">
        <v>17</v>
      </c>
      <c r="J182" s="3" t="s">
        <v>18</v>
      </c>
      <c r="K182" t="s">
        <v>19</v>
      </c>
      <c r="L182" s="6" t="s">
        <v>695</v>
      </c>
      <c r="M182" s="14" t="s">
        <v>20</v>
      </c>
      <c r="N182" s="6" t="s">
        <v>657</v>
      </c>
      <c r="O182" s="6">
        <v>0</v>
      </c>
      <c r="P182" s="6" t="s">
        <v>1046</v>
      </c>
      <c r="Q182" s="35">
        <v>1</v>
      </c>
      <c r="R182" s="35">
        <v>0</v>
      </c>
      <c r="S182" s="35">
        <v>0</v>
      </c>
      <c r="T182" s="35">
        <v>0</v>
      </c>
      <c r="U182" s="35">
        <v>0</v>
      </c>
      <c r="V182" s="35">
        <v>0</v>
      </c>
      <c r="W182" s="35">
        <v>0</v>
      </c>
      <c r="X182" s="6" t="s">
        <v>780</v>
      </c>
      <c r="Y182" s="6">
        <v>1</v>
      </c>
      <c r="Z182" s="6">
        <v>1</v>
      </c>
      <c r="AA182" s="6">
        <v>0</v>
      </c>
      <c r="AB182" s="6">
        <v>0</v>
      </c>
      <c r="AC182" s="6">
        <v>0</v>
      </c>
      <c r="AD182" s="14" t="s">
        <v>43</v>
      </c>
      <c r="AE182" s="13" t="s">
        <v>330</v>
      </c>
      <c r="AF182" s="13" t="s">
        <v>66</v>
      </c>
      <c r="AG182" s="8" t="s">
        <v>1357</v>
      </c>
      <c r="AH182" s="11">
        <v>40327</v>
      </c>
      <c r="AI182" s="10">
        <v>510</v>
      </c>
      <c r="AJ182" s="12">
        <v>130.6</v>
      </c>
      <c r="AK182" s="12">
        <f t="shared" si="10"/>
        <v>25.6078431372549</v>
      </c>
      <c r="AL182" s="12" t="str">
        <f t="shared" si="13"/>
        <v>25% a 50%</v>
      </c>
      <c r="AM182" s="6" t="s">
        <v>954</v>
      </c>
      <c r="AN182" s="6" t="s">
        <v>616</v>
      </c>
      <c r="AO182" s="6" t="s">
        <v>701</v>
      </c>
      <c r="AP182" s="6">
        <v>1</v>
      </c>
      <c r="AQ182" s="6" t="s">
        <v>658</v>
      </c>
      <c r="AR182" s="6" t="s">
        <v>1399</v>
      </c>
      <c r="AS182" s="6">
        <v>0</v>
      </c>
      <c r="AT182" s="6">
        <v>0</v>
      </c>
      <c r="AU182" s="6">
        <v>0</v>
      </c>
      <c r="AV182" s="6">
        <v>0</v>
      </c>
      <c r="AW182" s="6" t="s">
        <v>955</v>
      </c>
      <c r="AX182" s="31">
        <v>0</v>
      </c>
      <c r="AY182" s="31">
        <v>2</v>
      </c>
      <c r="AZ182" s="31">
        <v>0</v>
      </c>
      <c r="BA182" s="12">
        <f t="shared" si="11"/>
        <v>2</v>
      </c>
      <c r="BB182" s="31">
        <v>2</v>
      </c>
      <c r="BC182" s="31">
        <v>0</v>
      </c>
      <c r="BD182" s="31">
        <v>0</v>
      </c>
      <c r="BE182" s="31">
        <v>0</v>
      </c>
      <c r="BF182" s="12">
        <f t="shared" si="12"/>
        <v>0</v>
      </c>
      <c r="BG182" s="6" t="s">
        <v>636</v>
      </c>
      <c r="BH182" s="6" t="s">
        <v>1394</v>
      </c>
      <c r="BI182" s="6">
        <v>1</v>
      </c>
      <c r="BJ182" s="6" t="s">
        <v>609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</row>
    <row r="183" spans="1:70" ht="52.8" customHeight="1" x14ac:dyDescent="0.3">
      <c r="A183" s="6">
        <v>1483956</v>
      </c>
      <c r="B183" s="6" t="s">
        <v>26</v>
      </c>
      <c r="C183" s="15" t="s">
        <v>399</v>
      </c>
      <c r="D183" s="6" t="s">
        <v>64</v>
      </c>
      <c r="E183" s="6" t="s">
        <v>15</v>
      </c>
      <c r="F183" s="7">
        <v>41912</v>
      </c>
      <c r="G183" s="7">
        <v>41934</v>
      </c>
      <c r="H183" s="8" t="s">
        <v>77</v>
      </c>
      <c r="I183" s="3" t="s">
        <v>48</v>
      </c>
      <c r="J183" s="3" t="s">
        <v>18</v>
      </c>
      <c r="K183" t="s">
        <v>19</v>
      </c>
      <c r="L183" s="6" t="s">
        <v>696</v>
      </c>
      <c r="M183" s="14" t="s">
        <v>724</v>
      </c>
      <c r="N183" s="6" t="s">
        <v>657</v>
      </c>
      <c r="O183" s="6">
        <v>0</v>
      </c>
      <c r="P183" s="6" t="s">
        <v>1048</v>
      </c>
      <c r="Q183" s="35">
        <v>0</v>
      </c>
      <c r="R183" s="35">
        <v>0</v>
      </c>
      <c r="S183" s="35">
        <v>1</v>
      </c>
      <c r="T183" s="35">
        <v>1</v>
      </c>
      <c r="U183" s="35">
        <v>0</v>
      </c>
      <c r="V183" s="35">
        <v>0</v>
      </c>
      <c r="W183" s="35">
        <v>0</v>
      </c>
      <c r="X183" s="6" t="s">
        <v>1049</v>
      </c>
      <c r="Y183" s="6">
        <v>1</v>
      </c>
      <c r="Z183" s="6">
        <v>1</v>
      </c>
      <c r="AA183" s="6">
        <v>0</v>
      </c>
      <c r="AB183" s="6">
        <v>1</v>
      </c>
      <c r="AC183" s="6">
        <v>0</v>
      </c>
      <c r="AD183" s="14" t="s">
        <v>21</v>
      </c>
      <c r="AE183" s="13" t="s">
        <v>400</v>
      </c>
      <c r="AF183" s="13" t="s">
        <v>66</v>
      </c>
      <c r="AG183" s="8" t="s">
        <v>1357</v>
      </c>
      <c r="AH183" s="11">
        <v>41266</v>
      </c>
      <c r="AI183" s="10">
        <v>622</v>
      </c>
      <c r="AJ183" s="12">
        <v>50</v>
      </c>
      <c r="AK183" s="12">
        <f t="shared" si="10"/>
        <v>8.0385852090032159</v>
      </c>
      <c r="AL183" s="12" t="str">
        <f t="shared" si="13"/>
        <v>Até 10%</v>
      </c>
      <c r="AM183" s="6" t="s">
        <v>1050</v>
      </c>
      <c r="AN183" s="6" t="s">
        <v>1452</v>
      </c>
      <c r="AO183" s="6" t="s">
        <v>699</v>
      </c>
      <c r="AP183" s="6">
        <v>0</v>
      </c>
      <c r="AQ183" s="6" t="s">
        <v>1047</v>
      </c>
      <c r="AR183" s="6" t="s">
        <v>1403</v>
      </c>
      <c r="AS183" s="6">
        <v>1</v>
      </c>
      <c r="AT183" s="6">
        <v>0</v>
      </c>
      <c r="AU183" s="6">
        <v>0</v>
      </c>
      <c r="AV183" s="6">
        <v>0</v>
      </c>
      <c r="AW183" s="6" t="s">
        <v>1051</v>
      </c>
      <c r="AX183" s="31">
        <v>0</v>
      </c>
      <c r="AY183" s="31">
        <v>0</v>
      </c>
      <c r="AZ183" s="31">
        <v>0</v>
      </c>
      <c r="BA183" s="12">
        <f t="shared" si="11"/>
        <v>0</v>
      </c>
      <c r="BB183" s="31">
        <v>10</v>
      </c>
      <c r="BC183" s="31">
        <v>2</v>
      </c>
      <c r="BD183" s="31">
        <v>0</v>
      </c>
      <c r="BE183" s="31">
        <v>0</v>
      </c>
      <c r="BF183" s="12">
        <f t="shared" si="12"/>
        <v>24.333333333333332</v>
      </c>
      <c r="BG183" s="6" t="s">
        <v>636</v>
      </c>
      <c r="BH183" s="6" t="s">
        <v>1394</v>
      </c>
      <c r="BI183" s="6">
        <v>1</v>
      </c>
      <c r="BJ183" s="6" t="s">
        <v>609</v>
      </c>
      <c r="BK183" s="6">
        <v>0</v>
      </c>
      <c r="BL183" s="6">
        <v>0</v>
      </c>
      <c r="BM183" s="6">
        <v>0</v>
      </c>
      <c r="BN183" s="6">
        <v>1</v>
      </c>
      <c r="BO183" s="6">
        <v>0</v>
      </c>
      <c r="BP183" s="6">
        <v>0</v>
      </c>
      <c r="BQ183" s="6">
        <v>0</v>
      </c>
      <c r="BR183" s="6">
        <v>0</v>
      </c>
    </row>
    <row r="184" spans="1:70" ht="52.8" customHeight="1" x14ac:dyDescent="0.3">
      <c r="A184" s="6">
        <v>603353</v>
      </c>
      <c r="B184" s="6" t="s">
        <v>13</v>
      </c>
      <c r="C184" s="15" t="s">
        <v>1052</v>
      </c>
      <c r="D184" s="6" t="s">
        <v>64</v>
      </c>
      <c r="E184" s="6" t="s">
        <v>15</v>
      </c>
      <c r="F184" s="7">
        <v>41940</v>
      </c>
      <c r="G184" s="7">
        <v>42136</v>
      </c>
      <c r="H184" s="8" t="s">
        <v>38</v>
      </c>
      <c r="I184" s="3" t="s">
        <v>48</v>
      </c>
      <c r="J184" s="3" t="s">
        <v>18</v>
      </c>
      <c r="K184" t="s">
        <v>19</v>
      </c>
      <c r="L184" s="6" t="s">
        <v>696</v>
      </c>
      <c r="M184" s="14" t="s">
        <v>1055</v>
      </c>
      <c r="N184" s="6" t="s">
        <v>657</v>
      </c>
      <c r="O184" s="6">
        <v>0</v>
      </c>
      <c r="P184" s="6" t="s">
        <v>735</v>
      </c>
      <c r="Q184" s="35">
        <v>1</v>
      </c>
      <c r="R184" s="35">
        <v>0</v>
      </c>
      <c r="S184" s="35">
        <v>0</v>
      </c>
      <c r="T184" s="35">
        <v>0</v>
      </c>
      <c r="U184" s="35">
        <v>0</v>
      </c>
      <c r="V184" s="35">
        <v>0</v>
      </c>
      <c r="W184" s="35">
        <v>0</v>
      </c>
      <c r="X184" s="6" t="s">
        <v>657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14" t="s">
        <v>43</v>
      </c>
      <c r="AE184" s="13" t="s">
        <v>401</v>
      </c>
      <c r="AF184" s="13" t="s">
        <v>194</v>
      </c>
      <c r="AG184" s="8" t="s">
        <v>194</v>
      </c>
      <c r="AH184" s="11">
        <v>40841</v>
      </c>
      <c r="AI184" s="10">
        <v>545</v>
      </c>
      <c r="AJ184" s="12">
        <v>94.58</v>
      </c>
      <c r="AK184" s="12">
        <f t="shared" si="10"/>
        <v>17.354128440366974</v>
      </c>
      <c r="AL184" s="12" t="str">
        <f t="shared" si="13"/>
        <v>10% a 25%</v>
      </c>
      <c r="AM184" s="6" t="s">
        <v>1054</v>
      </c>
      <c r="AN184" s="6" t="s">
        <v>616</v>
      </c>
      <c r="AO184" s="6" t="s">
        <v>701</v>
      </c>
      <c r="AP184" s="6">
        <v>1</v>
      </c>
      <c r="AQ184" s="6" t="s">
        <v>838</v>
      </c>
      <c r="AR184" s="6" t="s">
        <v>1403</v>
      </c>
      <c r="AS184" s="6">
        <v>0</v>
      </c>
      <c r="AT184" s="6">
        <v>0</v>
      </c>
      <c r="AU184" s="6">
        <v>0</v>
      </c>
      <c r="AV184" s="6">
        <v>0</v>
      </c>
      <c r="AW184" s="6" t="s">
        <v>1053</v>
      </c>
      <c r="AX184" s="31">
        <v>0</v>
      </c>
      <c r="AY184" s="31">
        <v>0</v>
      </c>
      <c r="AZ184" s="31">
        <v>0</v>
      </c>
      <c r="BA184" s="12">
        <f t="shared" si="11"/>
        <v>0</v>
      </c>
      <c r="BB184" s="31">
        <v>5</v>
      </c>
      <c r="BC184" s="31">
        <v>1</v>
      </c>
      <c r="BD184" s="31">
        <v>0</v>
      </c>
      <c r="BE184" s="31">
        <v>0</v>
      </c>
      <c r="BF184" s="12">
        <f t="shared" si="12"/>
        <v>12.166666666666666</v>
      </c>
      <c r="BG184" s="6" t="s">
        <v>636</v>
      </c>
      <c r="BH184" s="6" t="s">
        <v>1394</v>
      </c>
      <c r="BI184" s="6">
        <v>1</v>
      </c>
      <c r="BJ184" s="6" t="s">
        <v>609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</row>
    <row r="185" spans="1:70" ht="52.8" customHeight="1" x14ac:dyDescent="0.3">
      <c r="A185" s="6">
        <v>651385</v>
      </c>
      <c r="B185" s="6" t="s">
        <v>13</v>
      </c>
      <c r="C185" s="15" t="s">
        <v>1056</v>
      </c>
      <c r="D185" s="6" t="s">
        <v>64</v>
      </c>
      <c r="E185" s="6" t="s">
        <v>15</v>
      </c>
      <c r="F185" s="7">
        <v>42044</v>
      </c>
      <c r="G185" s="7">
        <v>42486</v>
      </c>
      <c r="H185" s="8" t="s">
        <v>34</v>
      </c>
      <c r="I185" s="3" t="s">
        <v>17</v>
      </c>
      <c r="J185" s="3" t="s">
        <v>18</v>
      </c>
      <c r="K185" t="s">
        <v>19</v>
      </c>
      <c r="L185" s="6" t="s">
        <v>696</v>
      </c>
      <c r="M185" s="14" t="s">
        <v>626</v>
      </c>
      <c r="N185" s="6" t="s">
        <v>657</v>
      </c>
      <c r="O185" s="6">
        <v>0</v>
      </c>
      <c r="P185" s="6" t="s">
        <v>1041</v>
      </c>
      <c r="Q185" s="35">
        <v>1</v>
      </c>
      <c r="R185" s="35">
        <v>0</v>
      </c>
      <c r="S185" s="35">
        <v>1</v>
      </c>
      <c r="T185" s="35">
        <v>0</v>
      </c>
      <c r="U185" s="35">
        <v>0</v>
      </c>
      <c r="V185" s="35">
        <v>0</v>
      </c>
      <c r="W185" s="35">
        <v>0</v>
      </c>
      <c r="X185" s="6" t="s">
        <v>939</v>
      </c>
      <c r="Y185" s="6">
        <v>1</v>
      </c>
      <c r="Z185" s="6">
        <v>0</v>
      </c>
      <c r="AA185" s="6">
        <v>1</v>
      </c>
      <c r="AB185" s="6">
        <v>0</v>
      </c>
      <c r="AC185" s="6">
        <v>1</v>
      </c>
      <c r="AD185" s="14" t="s">
        <v>43</v>
      </c>
      <c r="AE185" s="13" t="s">
        <v>402</v>
      </c>
      <c r="AF185" s="13" t="s">
        <v>66</v>
      </c>
      <c r="AG185" s="8" t="s">
        <v>1357</v>
      </c>
      <c r="AH185" s="11">
        <v>40445</v>
      </c>
      <c r="AI185" s="10">
        <v>510</v>
      </c>
      <c r="AJ185" s="12">
        <v>120</v>
      </c>
      <c r="AK185" s="12">
        <f t="shared" ref="AK185:AK248" si="14">IFERROR((AJ185/AI185)*100,"")</f>
        <v>23.52941176470588</v>
      </c>
      <c r="AL185" s="12" t="str">
        <f t="shared" si="13"/>
        <v>10% a 25%</v>
      </c>
      <c r="AM185" s="6" t="s">
        <v>786</v>
      </c>
      <c r="AN185" s="6" t="s">
        <v>1455</v>
      </c>
      <c r="AO185" s="6" t="s">
        <v>701</v>
      </c>
      <c r="AP185" s="6">
        <v>1</v>
      </c>
      <c r="AQ185" s="6" t="s">
        <v>613</v>
      </c>
      <c r="AR185" s="6" t="s">
        <v>1399</v>
      </c>
      <c r="AS185" s="6">
        <v>1</v>
      </c>
      <c r="AT185" s="6">
        <v>0</v>
      </c>
      <c r="AU185" s="6">
        <v>0</v>
      </c>
      <c r="AV185" s="6">
        <v>0</v>
      </c>
      <c r="AW185" s="6" t="s">
        <v>829</v>
      </c>
      <c r="AX185" s="31">
        <v>1</v>
      </c>
      <c r="AY185" s="31">
        <v>0</v>
      </c>
      <c r="AZ185" s="31">
        <v>0</v>
      </c>
      <c r="BA185" s="12">
        <f t="shared" si="11"/>
        <v>12.166666666666666</v>
      </c>
      <c r="BB185" s="31">
        <v>20</v>
      </c>
      <c r="BC185" s="31">
        <v>0</v>
      </c>
      <c r="BD185" s="31">
        <v>0</v>
      </c>
      <c r="BE185" s="31">
        <v>0</v>
      </c>
      <c r="BF185" s="12">
        <f t="shared" si="12"/>
        <v>0</v>
      </c>
      <c r="BG185" s="6" t="s">
        <v>636</v>
      </c>
      <c r="BH185" s="6" t="s">
        <v>1394</v>
      </c>
      <c r="BI185" s="6">
        <v>1</v>
      </c>
      <c r="BJ185" s="6" t="s">
        <v>609</v>
      </c>
      <c r="BK185" s="6">
        <v>1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</row>
    <row r="186" spans="1:70" ht="52.8" customHeight="1" x14ac:dyDescent="0.3">
      <c r="A186" s="6">
        <v>1519671</v>
      </c>
      <c r="B186" s="6" t="s">
        <v>26</v>
      </c>
      <c r="C186" s="15" t="s">
        <v>403</v>
      </c>
      <c r="D186" s="6" t="s">
        <v>41</v>
      </c>
      <c r="E186" s="6" t="s">
        <v>15</v>
      </c>
      <c r="F186" s="7">
        <v>42080</v>
      </c>
      <c r="G186" s="7">
        <v>42177</v>
      </c>
      <c r="H186" s="8" t="s">
        <v>16</v>
      </c>
      <c r="I186" s="3" t="s">
        <v>48</v>
      </c>
      <c r="J186" s="3" t="s">
        <v>18</v>
      </c>
      <c r="K186" t="s">
        <v>19</v>
      </c>
      <c r="L186" s="6" t="s">
        <v>695</v>
      </c>
      <c r="M186" s="14" t="s">
        <v>724</v>
      </c>
      <c r="N186" s="6" t="s">
        <v>657</v>
      </c>
      <c r="O186" s="6">
        <v>0</v>
      </c>
      <c r="P186" s="6" t="s">
        <v>1058</v>
      </c>
      <c r="Q186" s="35">
        <v>1</v>
      </c>
      <c r="R186" s="35">
        <v>1</v>
      </c>
      <c r="S186" s="35">
        <v>0</v>
      </c>
      <c r="T186" s="35">
        <v>1</v>
      </c>
      <c r="U186" s="35">
        <v>0</v>
      </c>
      <c r="V186" s="35">
        <v>0</v>
      </c>
      <c r="W186" s="35">
        <v>0</v>
      </c>
      <c r="X186" s="6" t="s">
        <v>801</v>
      </c>
      <c r="Y186" s="6">
        <v>1</v>
      </c>
      <c r="Z186" s="6">
        <v>0</v>
      </c>
      <c r="AA186" s="6">
        <v>0</v>
      </c>
      <c r="AB186" s="6">
        <v>1</v>
      </c>
      <c r="AC186" s="6">
        <v>0</v>
      </c>
      <c r="AD186" s="14" t="s">
        <v>21</v>
      </c>
      <c r="AE186" s="13" t="s">
        <v>404</v>
      </c>
      <c r="AF186" s="13" t="s">
        <v>45</v>
      </c>
      <c r="AG186" s="8" t="s">
        <v>1357</v>
      </c>
      <c r="AH186" s="11">
        <v>41657</v>
      </c>
      <c r="AI186" s="10">
        <v>724</v>
      </c>
      <c r="AJ186" s="12">
        <v>1090</v>
      </c>
      <c r="AK186" s="12">
        <f t="shared" si="14"/>
        <v>150.55248618784532</v>
      </c>
      <c r="AL186" s="12" t="str">
        <f t="shared" si="13"/>
        <v>Acima de 50%</v>
      </c>
      <c r="AM186" s="6" t="s">
        <v>1057</v>
      </c>
      <c r="AN186" s="6" t="s">
        <v>1455</v>
      </c>
      <c r="AO186" s="6" t="s">
        <v>701</v>
      </c>
      <c r="AP186" s="6">
        <v>1</v>
      </c>
      <c r="AQ186" s="6" t="s">
        <v>669</v>
      </c>
      <c r="AR186" s="6" t="s">
        <v>1400</v>
      </c>
      <c r="AS186" s="6">
        <v>0</v>
      </c>
      <c r="AT186" s="6">
        <v>0</v>
      </c>
      <c r="AU186" s="6">
        <v>0</v>
      </c>
      <c r="AV186" s="6">
        <v>0</v>
      </c>
      <c r="AW186" s="6" t="s">
        <v>1059</v>
      </c>
      <c r="AX186" s="31">
        <v>2</v>
      </c>
      <c r="AY186" s="31">
        <v>3</v>
      </c>
      <c r="AZ186" s="31">
        <v>10</v>
      </c>
      <c r="BA186" s="12">
        <f t="shared" si="11"/>
        <v>27.666666666666668</v>
      </c>
      <c r="BB186" s="31">
        <v>20</v>
      </c>
      <c r="BC186" s="31">
        <v>0</v>
      </c>
      <c r="BD186" s="31">
        <v>0</v>
      </c>
      <c r="BE186" s="31">
        <v>0</v>
      </c>
      <c r="BF186" s="12">
        <f t="shared" si="12"/>
        <v>0</v>
      </c>
      <c r="BG186" s="6" t="s">
        <v>615</v>
      </c>
      <c r="BH186" s="6" t="s">
        <v>1393</v>
      </c>
      <c r="BI186" s="6">
        <v>0</v>
      </c>
      <c r="BJ186" s="6" t="s">
        <v>609</v>
      </c>
      <c r="BK186" s="6">
        <v>1</v>
      </c>
      <c r="BL186" s="6">
        <v>1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</row>
    <row r="187" spans="1:70" ht="52.8" customHeight="1" x14ac:dyDescent="0.3">
      <c r="A187" s="6">
        <v>562354</v>
      </c>
      <c r="B187" s="6" t="s">
        <v>13</v>
      </c>
      <c r="C187" s="15" t="s">
        <v>1060</v>
      </c>
      <c r="D187" s="6" t="s">
        <v>28</v>
      </c>
      <c r="E187" s="6" t="s">
        <v>15</v>
      </c>
      <c r="F187" s="7">
        <v>41869</v>
      </c>
      <c r="G187" s="7">
        <v>41961</v>
      </c>
      <c r="H187" s="8" t="s">
        <v>16</v>
      </c>
      <c r="I187" s="3" t="s">
        <v>48</v>
      </c>
      <c r="J187" s="3" t="s">
        <v>18</v>
      </c>
      <c r="K187" t="s">
        <v>19</v>
      </c>
      <c r="L187" s="6" t="s">
        <v>695</v>
      </c>
      <c r="M187" s="14" t="s">
        <v>626</v>
      </c>
      <c r="N187" s="6" t="s">
        <v>657</v>
      </c>
      <c r="O187" s="6">
        <v>0</v>
      </c>
      <c r="P187" s="6" t="s">
        <v>861</v>
      </c>
      <c r="Q187" s="35">
        <v>1</v>
      </c>
      <c r="R187" s="35">
        <v>0</v>
      </c>
      <c r="S187" s="35">
        <v>0</v>
      </c>
      <c r="T187" s="35">
        <v>1</v>
      </c>
      <c r="U187" s="35">
        <v>0</v>
      </c>
      <c r="V187" s="35">
        <v>0</v>
      </c>
      <c r="W187" s="35">
        <v>0</v>
      </c>
      <c r="X187" s="6" t="s">
        <v>801</v>
      </c>
      <c r="Y187" s="6">
        <v>1</v>
      </c>
      <c r="Z187" s="6">
        <v>0</v>
      </c>
      <c r="AA187" s="6">
        <v>0</v>
      </c>
      <c r="AB187" s="6">
        <v>1</v>
      </c>
      <c r="AC187" s="6">
        <v>0</v>
      </c>
      <c r="AD187" s="14" t="s">
        <v>43</v>
      </c>
      <c r="AE187" s="13" t="s">
        <v>405</v>
      </c>
      <c r="AF187" s="13" t="s">
        <v>32</v>
      </c>
      <c r="AG187" s="8" t="s">
        <v>1357</v>
      </c>
      <c r="AH187" s="11">
        <v>40100</v>
      </c>
      <c r="AI187" s="10">
        <v>465</v>
      </c>
      <c r="AJ187" s="12">
        <v>50</v>
      </c>
      <c r="AK187" s="12">
        <f t="shared" si="14"/>
        <v>10.75268817204301</v>
      </c>
      <c r="AL187" s="12" t="str">
        <f t="shared" si="13"/>
        <v>10% a 25%</v>
      </c>
      <c r="AM187" s="6" t="s">
        <v>622</v>
      </c>
      <c r="AN187" s="6" t="s">
        <v>622</v>
      </c>
      <c r="AO187" s="6" t="s">
        <v>701</v>
      </c>
      <c r="AP187" s="6">
        <v>1</v>
      </c>
      <c r="AQ187" s="6" t="s">
        <v>1061</v>
      </c>
      <c r="AR187" s="6" t="s">
        <v>1403</v>
      </c>
      <c r="AS187" s="6">
        <v>1</v>
      </c>
      <c r="AT187" s="6">
        <v>0</v>
      </c>
      <c r="AU187" s="6">
        <v>0</v>
      </c>
      <c r="AV187" s="6">
        <v>0</v>
      </c>
      <c r="AW187" s="6" t="s">
        <v>1062</v>
      </c>
      <c r="AX187" s="31">
        <v>1</v>
      </c>
      <c r="AY187" s="31">
        <v>4</v>
      </c>
      <c r="AZ187" s="31">
        <v>0</v>
      </c>
      <c r="BA187" s="12">
        <f t="shared" si="11"/>
        <v>16.166666666666668</v>
      </c>
      <c r="BB187" s="31">
        <v>30</v>
      </c>
      <c r="BC187" s="31">
        <v>0</v>
      </c>
      <c r="BD187" s="31">
        <v>0</v>
      </c>
      <c r="BE187" s="31">
        <v>0</v>
      </c>
      <c r="BF187" s="12">
        <f t="shared" si="12"/>
        <v>0</v>
      </c>
      <c r="BG187" s="6" t="s">
        <v>636</v>
      </c>
      <c r="BH187" s="6" t="s">
        <v>1394</v>
      </c>
      <c r="BI187" s="6">
        <v>1</v>
      </c>
      <c r="BJ187" s="6" t="s">
        <v>609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</row>
    <row r="188" spans="1:70" ht="52.8" customHeight="1" x14ac:dyDescent="0.3">
      <c r="A188" s="6">
        <v>314902</v>
      </c>
      <c r="B188" s="6" t="s">
        <v>24</v>
      </c>
      <c r="C188" s="15" t="s">
        <v>406</v>
      </c>
      <c r="D188" s="6" t="s">
        <v>106</v>
      </c>
      <c r="E188" s="6" t="s">
        <v>15</v>
      </c>
      <c r="F188" s="7">
        <v>42032</v>
      </c>
      <c r="G188" s="7">
        <v>42086</v>
      </c>
      <c r="H188" s="8" t="s">
        <v>16</v>
      </c>
      <c r="I188" s="3" t="s">
        <v>48</v>
      </c>
      <c r="J188" s="3" t="s">
        <v>18</v>
      </c>
      <c r="K188" t="s">
        <v>19</v>
      </c>
      <c r="L188" s="6" t="s">
        <v>695</v>
      </c>
      <c r="M188" s="14" t="s">
        <v>724</v>
      </c>
      <c r="N188" s="6" t="s">
        <v>657</v>
      </c>
      <c r="O188" s="6">
        <v>0</v>
      </c>
      <c r="P188" s="6" t="s">
        <v>1064</v>
      </c>
      <c r="Q188" s="35">
        <v>0</v>
      </c>
      <c r="R188" s="35">
        <v>0</v>
      </c>
      <c r="S188" s="35">
        <v>1</v>
      </c>
      <c r="T188" s="35">
        <v>1</v>
      </c>
      <c r="U188" s="35">
        <v>0</v>
      </c>
      <c r="V188" s="35">
        <v>0</v>
      </c>
      <c r="W188" s="35">
        <v>0</v>
      </c>
      <c r="X188" s="6" t="s">
        <v>801</v>
      </c>
      <c r="Y188" s="6">
        <v>1</v>
      </c>
      <c r="Z188" s="6">
        <v>0</v>
      </c>
      <c r="AA188" s="6">
        <v>0</v>
      </c>
      <c r="AB188" s="6">
        <v>1</v>
      </c>
      <c r="AC188" s="6">
        <v>0</v>
      </c>
      <c r="AD188" s="14" t="s">
        <v>21</v>
      </c>
      <c r="AE188" s="13" t="s">
        <v>407</v>
      </c>
      <c r="AF188" s="13" t="s">
        <v>108</v>
      </c>
      <c r="AG188" s="8" t="s">
        <v>1357</v>
      </c>
      <c r="AH188" s="11">
        <v>40738</v>
      </c>
      <c r="AI188" s="10">
        <v>545</v>
      </c>
      <c r="AJ188" s="12">
        <v>59.8</v>
      </c>
      <c r="AK188" s="12">
        <f t="shared" si="14"/>
        <v>10.972477064220183</v>
      </c>
      <c r="AL188" s="12" t="str">
        <f t="shared" si="13"/>
        <v>10% a 25%</v>
      </c>
      <c r="AM188" s="6" t="s">
        <v>1063</v>
      </c>
      <c r="AN188" s="6" t="s">
        <v>1454</v>
      </c>
      <c r="AO188" s="6" t="s">
        <v>699</v>
      </c>
      <c r="AP188" s="6">
        <v>0</v>
      </c>
      <c r="AQ188" s="6" t="s">
        <v>897</v>
      </c>
      <c r="AR188" s="6" t="s">
        <v>1400</v>
      </c>
      <c r="AS188" s="6">
        <v>0</v>
      </c>
      <c r="AT188" s="6">
        <v>0</v>
      </c>
      <c r="AU188" s="6">
        <v>0</v>
      </c>
      <c r="AV188" s="6">
        <v>0</v>
      </c>
      <c r="AW188" s="6" t="s">
        <v>1382</v>
      </c>
      <c r="AX188" s="31">
        <v>0</v>
      </c>
      <c r="AY188" s="31">
        <v>8</v>
      </c>
      <c r="AZ188" s="31">
        <v>0</v>
      </c>
      <c r="BA188" s="12">
        <f t="shared" si="11"/>
        <v>8</v>
      </c>
      <c r="BB188" s="31">
        <v>3</v>
      </c>
      <c r="BC188" s="31">
        <v>0</v>
      </c>
      <c r="BD188" s="31">
        <v>0</v>
      </c>
      <c r="BE188" s="31">
        <v>0</v>
      </c>
      <c r="BF188" s="12">
        <f t="shared" si="12"/>
        <v>0</v>
      </c>
      <c r="BG188" s="6" t="s">
        <v>1381</v>
      </c>
      <c r="BH188" s="6" t="s">
        <v>1394</v>
      </c>
      <c r="BI188" s="6">
        <v>1</v>
      </c>
      <c r="BJ188" s="6" t="s">
        <v>609</v>
      </c>
      <c r="BK188" s="6">
        <v>0</v>
      </c>
      <c r="BL188" s="6">
        <v>0</v>
      </c>
      <c r="BM188" s="6">
        <v>0</v>
      </c>
      <c r="BN188" s="6">
        <v>1</v>
      </c>
      <c r="BO188" s="6">
        <v>0</v>
      </c>
      <c r="BP188" s="6">
        <v>0</v>
      </c>
      <c r="BQ188" s="6">
        <v>0</v>
      </c>
      <c r="BR188" s="6">
        <v>0</v>
      </c>
    </row>
    <row r="189" spans="1:70" ht="52.8" customHeight="1" x14ac:dyDescent="0.3">
      <c r="A189" s="6">
        <v>644525</v>
      </c>
      <c r="B189" s="6" t="s">
        <v>46</v>
      </c>
      <c r="C189" s="15" t="s">
        <v>408</v>
      </c>
      <c r="D189" s="6" t="s">
        <v>64</v>
      </c>
      <c r="E189" s="6" t="s">
        <v>15</v>
      </c>
      <c r="F189" s="7">
        <v>42031</v>
      </c>
      <c r="G189" s="7">
        <v>42597</v>
      </c>
      <c r="H189" s="8" t="s">
        <v>59</v>
      </c>
      <c r="I189" s="3" t="s">
        <v>17</v>
      </c>
      <c r="J189" s="3" t="s">
        <v>18</v>
      </c>
      <c r="K189" t="s">
        <v>19</v>
      </c>
      <c r="L189" s="6" t="s">
        <v>696</v>
      </c>
      <c r="M189" s="14" t="s">
        <v>1065</v>
      </c>
      <c r="N189" s="6" t="s">
        <v>703</v>
      </c>
      <c r="O189" s="6">
        <v>1</v>
      </c>
      <c r="P189" s="6" t="s">
        <v>826</v>
      </c>
      <c r="Q189" s="35">
        <v>0</v>
      </c>
      <c r="R189" s="35">
        <v>0</v>
      </c>
      <c r="S189" s="35">
        <v>0</v>
      </c>
      <c r="T189" s="35">
        <v>0</v>
      </c>
      <c r="U189" s="35">
        <v>1</v>
      </c>
      <c r="V189" s="35">
        <v>0</v>
      </c>
      <c r="W189" s="35">
        <v>0</v>
      </c>
      <c r="X189" s="6" t="s">
        <v>860</v>
      </c>
      <c r="Y189" s="6">
        <v>1</v>
      </c>
      <c r="Z189" s="6">
        <v>1</v>
      </c>
      <c r="AA189" s="6">
        <v>1</v>
      </c>
      <c r="AB189" s="6">
        <v>1</v>
      </c>
      <c r="AC189" s="6">
        <v>1</v>
      </c>
      <c r="AD189" s="14" t="s">
        <v>21</v>
      </c>
      <c r="AE189" s="13" t="s">
        <v>409</v>
      </c>
      <c r="AF189" s="13" t="s">
        <v>66</v>
      </c>
      <c r="AG189" s="8" t="s">
        <v>1357</v>
      </c>
      <c r="AH189" s="11">
        <v>39384</v>
      </c>
      <c r="AI189" s="10">
        <v>380</v>
      </c>
      <c r="AJ189" s="12">
        <v>25</v>
      </c>
      <c r="AK189" s="12">
        <f t="shared" si="14"/>
        <v>6.5789473684210522</v>
      </c>
      <c r="AL189" s="12" t="str">
        <f t="shared" si="13"/>
        <v>Até 10%</v>
      </c>
      <c r="AM189" s="6" t="s">
        <v>624</v>
      </c>
      <c r="AN189" s="6" t="s">
        <v>1452</v>
      </c>
      <c r="AO189" s="6" t="s">
        <v>699</v>
      </c>
      <c r="AP189" s="6">
        <v>0</v>
      </c>
      <c r="AQ189" s="6" t="s">
        <v>1066</v>
      </c>
      <c r="AR189" s="6" t="s">
        <v>1401</v>
      </c>
      <c r="AS189" s="6">
        <v>1</v>
      </c>
      <c r="AT189" s="6">
        <v>0</v>
      </c>
      <c r="AU189" s="6">
        <v>0</v>
      </c>
      <c r="AV189" s="6">
        <v>0</v>
      </c>
      <c r="AW189" s="6" t="s">
        <v>842</v>
      </c>
      <c r="AX189" s="31">
        <v>0</v>
      </c>
      <c r="AY189" s="31">
        <v>0</v>
      </c>
      <c r="AZ189" s="31">
        <v>0</v>
      </c>
      <c r="BA189" s="12">
        <f t="shared" si="11"/>
        <v>0</v>
      </c>
      <c r="BB189" s="31">
        <v>10</v>
      </c>
      <c r="BC189" s="31">
        <v>1</v>
      </c>
      <c r="BD189" s="31">
        <v>0</v>
      </c>
      <c r="BE189" s="31">
        <v>0</v>
      </c>
      <c r="BF189" s="12">
        <f t="shared" si="12"/>
        <v>12.166666666666666</v>
      </c>
      <c r="BG189" s="6" t="s">
        <v>636</v>
      </c>
      <c r="BH189" s="6" t="s">
        <v>1394</v>
      </c>
      <c r="BI189" s="6">
        <v>1</v>
      </c>
      <c r="BJ189" s="6" t="s">
        <v>609</v>
      </c>
      <c r="BK189" s="6">
        <v>0</v>
      </c>
      <c r="BL189" s="6">
        <v>0</v>
      </c>
      <c r="BM189" s="6">
        <v>0</v>
      </c>
      <c r="BN189" s="6">
        <v>0</v>
      </c>
      <c r="BO189" s="6" t="s">
        <v>1067</v>
      </c>
      <c r="BP189" s="6">
        <v>0</v>
      </c>
      <c r="BQ189" s="6">
        <v>0</v>
      </c>
      <c r="BR189" s="6">
        <v>0</v>
      </c>
    </row>
    <row r="190" spans="1:70" ht="52.8" customHeight="1" x14ac:dyDescent="0.3">
      <c r="A190" s="6">
        <v>565609</v>
      </c>
      <c r="B190" s="6" t="s">
        <v>13</v>
      </c>
      <c r="C190" s="15" t="s">
        <v>1068</v>
      </c>
      <c r="D190" s="6" t="s">
        <v>14</v>
      </c>
      <c r="E190" s="6" t="s">
        <v>15</v>
      </c>
      <c r="F190" s="7">
        <v>41872</v>
      </c>
      <c r="G190" s="7">
        <v>41961</v>
      </c>
      <c r="H190" s="8" t="s">
        <v>52</v>
      </c>
      <c r="I190" s="3" t="s">
        <v>17</v>
      </c>
      <c r="J190" s="3" t="s">
        <v>18</v>
      </c>
      <c r="K190" t="s">
        <v>19</v>
      </c>
      <c r="L190" s="6" t="s">
        <v>695</v>
      </c>
      <c r="M190" s="14" t="s">
        <v>1071</v>
      </c>
      <c r="N190" s="6" t="s">
        <v>703</v>
      </c>
      <c r="O190" s="6">
        <v>1</v>
      </c>
      <c r="P190" s="6" t="s">
        <v>1069</v>
      </c>
      <c r="Q190" s="35">
        <v>1</v>
      </c>
      <c r="R190" s="35">
        <v>0</v>
      </c>
      <c r="S190" s="35">
        <v>0</v>
      </c>
      <c r="T190" s="35">
        <v>0</v>
      </c>
      <c r="U190" s="35">
        <v>0</v>
      </c>
      <c r="V190" s="35">
        <v>0</v>
      </c>
      <c r="W190" s="35">
        <v>0</v>
      </c>
      <c r="X190" s="6" t="s">
        <v>971</v>
      </c>
      <c r="Y190" s="6">
        <v>1</v>
      </c>
      <c r="Z190" s="6">
        <v>0</v>
      </c>
      <c r="AA190" s="6">
        <v>0</v>
      </c>
      <c r="AB190" s="6">
        <v>0</v>
      </c>
      <c r="AC190" s="6">
        <v>1</v>
      </c>
      <c r="AD190" s="14" t="s">
        <v>43</v>
      </c>
      <c r="AE190" s="13" t="s">
        <v>410</v>
      </c>
      <c r="AF190" s="13" t="s">
        <v>1070</v>
      </c>
      <c r="AG190" s="8" t="s">
        <v>1357</v>
      </c>
      <c r="AH190" s="11">
        <v>40920</v>
      </c>
      <c r="AI190" s="10">
        <v>622</v>
      </c>
      <c r="AJ190" s="12">
        <v>114.75</v>
      </c>
      <c r="AK190" s="12">
        <f t="shared" si="14"/>
        <v>18.44855305466238</v>
      </c>
      <c r="AL190" s="12" t="str">
        <f t="shared" si="13"/>
        <v>10% a 25%</v>
      </c>
      <c r="AM190" s="6" t="s">
        <v>1072</v>
      </c>
      <c r="AN190" s="6" t="s">
        <v>616</v>
      </c>
      <c r="AO190" s="6" t="s">
        <v>699</v>
      </c>
      <c r="AP190" s="6">
        <v>0</v>
      </c>
      <c r="AQ190" s="6" t="s">
        <v>1044</v>
      </c>
      <c r="AR190" s="6" t="s">
        <v>1401</v>
      </c>
      <c r="AS190" s="6">
        <v>0</v>
      </c>
      <c r="AT190" s="6">
        <v>0</v>
      </c>
      <c r="AU190" s="6">
        <v>0</v>
      </c>
      <c r="AV190" s="6">
        <v>0</v>
      </c>
      <c r="AW190" s="6" t="s">
        <v>1021</v>
      </c>
      <c r="AX190" s="31">
        <v>0</v>
      </c>
      <c r="AY190" s="31">
        <v>5</v>
      </c>
      <c r="AZ190" s="31">
        <v>10</v>
      </c>
      <c r="BA190" s="12">
        <f t="shared" si="11"/>
        <v>5.333333333333333</v>
      </c>
      <c r="BB190" s="31">
        <v>4</v>
      </c>
      <c r="BC190" s="31">
        <v>0</v>
      </c>
      <c r="BD190" s="31">
        <v>0</v>
      </c>
      <c r="BE190" s="31">
        <v>0</v>
      </c>
      <c r="BF190" s="12">
        <f t="shared" si="12"/>
        <v>0</v>
      </c>
      <c r="BG190" s="6" t="s">
        <v>636</v>
      </c>
      <c r="BH190" s="6" t="s">
        <v>1394</v>
      </c>
      <c r="BI190" s="6">
        <v>1</v>
      </c>
      <c r="BJ190" s="6" t="s">
        <v>609</v>
      </c>
      <c r="BK190" s="6">
        <v>0</v>
      </c>
      <c r="BL190" s="6">
        <v>0</v>
      </c>
      <c r="BM190" s="6">
        <v>0</v>
      </c>
      <c r="BN190" s="6">
        <v>0</v>
      </c>
      <c r="BO190" s="6" t="s">
        <v>1067</v>
      </c>
      <c r="BP190" s="6">
        <v>0</v>
      </c>
      <c r="BQ190" s="6">
        <v>0</v>
      </c>
      <c r="BR190" s="6">
        <v>0</v>
      </c>
    </row>
    <row r="191" spans="1:70" ht="52.8" customHeight="1" x14ac:dyDescent="0.3">
      <c r="A191" s="6">
        <v>330293</v>
      </c>
      <c r="B191" s="6" t="s">
        <v>24</v>
      </c>
      <c r="C191" s="15" t="s">
        <v>411</v>
      </c>
      <c r="D191" s="6" t="s">
        <v>14</v>
      </c>
      <c r="E191" s="6" t="s">
        <v>15</v>
      </c>
      <c r="F191" s="7">
        <v>42202</v>
      </c>
      <c r="G191" s="7">
        <v>42444</v>
      </c>
      <c r="H191" s="8" t="s">
        <v>38</v>
      </c>
      <c r="I191" s="3" t="s">
        <v>48</v>
      </c>
      <c r="J191" s="3" t="s">
        <v>18</v>
      </c>
      <c r="K191" t="s">
        <v>19</v>
      </c>
      <c r="L191" s="6" t="s">
        <v>696</v>
      </c>
      <c r="M191" s="14" t="s">
        <v>1075</v>
      </c>
      <c r="N191" s="6" t="s">
        <v>657</v>
      </c>
      <c r="O191" s="6">
        <v>0</v>
      </c>
      <c r="P191" s="6" t="s">
        <v>729</v>
      </c>
      <c r="Q191" s="35">
        <v>0</v>
      </c>
      <c r="R191" s="35">
        <v>0</v>
      </c>
      <c r="S191" s="35">
        <v>0</v>
      </c>
      <c r="T191" s="35">
        <v>1</v>
      </c>
      <c r="U191" s="35">
        <v>0</v>
      </c>
      <c r="V191" s="35">
        <v>0</v>
      </c>
      <c r="W191" s="35">
        <v>0</v>
      </c>
      <c r="X191" s="6" t="s">
        <v>801</v>
      </c>
      <c r="Y191" s="6">
        <v>1</v>
      </c>
      <c r="Z191" s="6">
        <v>0</v>
      </c>
      <c r="AA191" s="6">
        <v>0</v>
      </c>
      <c r="AB191" s="6">
        <v>1</v>
      </c>
      <c r="AC191" s="6">
        <v>0</v>
      </c>
      <c r="AD191" s="14" t="s">
        <v>43</v>
      </c>
      <c r="AE191" s="13" t="s">
        <v>412</v>
      </c>
      <c r="AF191" s="13" t="s">
        <v>23</v>
      </c>
      <c r="AG191" s="8" t="s">
        <v>1357</v>
      </c>
      <c r="AH191" s="11">
        <v>41317</v>
      </c>
      <c r="AI191" s="10">
        <v>678</v>
      </c>
      <c r="AJ191" s="12">
        <v>100</v>
      </c>
      <c r="AK191" s="12">
        <f t="shared" si="14"/>
        <v>14.749262536873156</v>
      </c>
      <c r="AL191" s="12" t="str">
        <f t="shared" si="13"/>
        <v>10% a 25%</v>
      </c>
      <c r="AM191" s="6" t="s">
        <v>1073</v>
      </c>
      <c r="AN191" s="6" t="s">
        <v>616</v>
      </c>
      <c r="AO191" s="6" t="s">
        <v>699</v>
      </c>
      <c r="AP191" s="6">
        <v>0</v>
      </c>
      <c r="AQ191" s="6" t="s">
        <v>669</v>
      </c>
      <c r="AR191" s="6" t="s">
        <v>1400</v>
      </c>
      <c r="AS191" s="6">
        <v>0</v>
      </c>
      <c r="AT191" s="6">
        <v>0</v>
      </c>
      <c r="AU191" s="6">
        <v>0</v>
      </c>
      <c r="AV191" s="6">
        <v>0</v>
      </c>
      <c r="AW191" s="6" t="s">
        <v>1074</v>
      </c>
      <c r="AX191" s="31">
        <v>1</v>
      </c>
      <c r="AY191" s="31">
        <v>4</v>
      </c>
      <c r="AZ191" s="31">
        <v>0</v>
      </c>
      <c r="BA191" s="12">
        <f t="shared" si="11"/>
        <v>16.166666666666668</v>
      </c>
      <c r="BB191" s="31">
        <v>6</v>
      </c>
      <c r="BC191" s="31">
        <v>0</v>
      </c>
      <c r="BD191" s="31">
        <v>0</v>
      </c>
      <c r="BE191" s="31">
        <v>0</v>
      </c>
      <c r="BF191" s="12">
        <f t="shared" si="12"/>
        <v>0</v>
      </c>
      <c r="BG191" s="6" t="s">
        <v>636</v>
      </c>
      <c r="BH191" s="6" t="s">
        <v>1394</v>
      </c>
      <c r="BI191" s="6">
        <v>1</v>
      </c>
      <c r="BJ191" s="6" t="s">
        <v>609</v>
      </c>
      <c r="BK191" s="6">
        <v>0</v>
      </c>
      <c r="BL191" s="6">
        <v>0</v>
      </c>
      <c r="BM191" s="6">
        <v>0</v>
      </c>
      <c r="BN191" s="6">
        <v>1</v>
      </c>
      <c r="BO191" s="6">
        <v>0</v>
      </c>
      <c r="BP191" s="6">
        <v>0</v>
      </c>
      <c r="BQ191" s="6">
        <v>0</v>
      </c>
      <c r="BR191" s="6">
        <v>0</v>
      </c>
    </row>
    <row r="192" spans="1:70" ht="52.8" customHeight="1" x14ac:dyDescent="0.3">
      <c r="A192" s="6">
        <v>317374</v>
      </c>
      <c r="B192" s="6" t="s">
        <v>24</v>
      </c>
      <c r="C192" s="15" t="s">
        <v>413</v>
      </c>
      <c r="D192" s="6" t="s">
        <v>14</v>
      </c>
      <c r="E192" s="6" t="s">
        <v>15</v>
      </c>
      <c r="F192" s="7">
        <v>42065</v>
      </c>
      <c r="G192" s="7">
        <v>42130</v>
      </c>
      <c r="H192" s="8" t="s">
        <v>111</v>
      </c>
      <c r="I192" s="3" t="s">
        <v>17</v>
      </c>
      <c r="J192" s="3" t="s">
        <v>18</v>
      </c>
      <c r="K192" t="s">
        <v>19</v>
      </c>
      <c r="L192" s="6" t="s">
        <v>696</v>
      </c>
      <c r="M192" s="14" t="s">
        <v>724</v>
      </c>
      <c r="N192" s="6" t="s">
        <v>657</v>
      </c>
      <c r="O192" s="6">
        <v>0</v>
      </c>
      <c r="P192" s="6" t="s">
        <v>1029</v>
      </c>
      <c r="Q192" s="35">
        <v>0</v>
      </c>
      <c r="R192" s="35">
        <v>0</v>
      </c>
      <c r="S192" s="35">
        <v>1</v>
      </c>
      <c r="T192" s="35">
        <v>0</v>
      </c>
      <c r="U192" s="35">
        <v>0</v>
      </c>
      <c r="V192" s="35">
        <v>0</v>
      </c>
      <c r="W192" s="35">
        <v>0</v>
      </c>
      <c r="X192" s="6" t="s">
        <v>801</v>
      </c>
      <c r="Y192" s="6">
        <v>1</v>
      </c>
      <c r="Z192" s="6">
        <v>0</v>
      </c>
      <c r="AA192" s="6">
        <v>0</v>
      </c>
      <c r="AB192" s="6">
        <v>1</v>
      </c>
      <c r="AC192" s="6">
        <v>0</v>
      </c>
      <c r="AD192" s="14" t="s">
        <v>21</v>
      </c>
      <c r="AE192" s="13" t="s">
        <v>414</v>
      </c>
      <c r="AF192" s="13" t="s">
        <v>23</v>
      </c>
      <c r="AG192" s="8" t="s">
        <v>1357</v>
      </c>
      <c r="AH192" s="11">
        <v>41721</v>
      </c>
      <c r="AI192" s="10">
        <v>724</v>
      </c>
      <c r="AJ192" s="12">
        <v>400</v>
      </c>
      <c r="AK192" s="12">
        <f t="shared" si="14"/>
        <v>55.248618784530393</v>
      </c>
      <c r="AL192" s="12" t="str">
        <f t="shared" si="13"/>
        <v>Acima de 50%</v>
      </c>
      <c r="AM192" s="6" t="s">
        <v>618</v>
      </c>
      <c r="AN192" s="6" t="s">
        <v>618</v>
      </c>
      <c r="AO192" s="6" t="s">
        <v>699</v>
      </c>
      <c r="AP192" s="6">
        <v>0</v>
      </c>
      <c r="AQ192" s="6" t="s">
        <v>658</v>
      </c>
      <c r="AR192" s="6" t="s">
        <v>1399</v>
      </c>
      <c r="AS192" s="6">
        <v>0</v>
      </c>
      <c r="AT192" s="6">
        <v>0</v>
      </c>
      <c r="AU192" s="6">
        <v>0</v>
      </c>
      <c r="AV192" s="6">
        <v>0</v>
      </c>
      <c r="AW192" s="6" t="s">
        <v>1076</v>
      </c>
      <c r="AX192" s="31">
        <v>0</v>
      </c>
      <c r="AY192" s="31">
        <v>5</v>
      </c>
      <c r="AZ192" s="31">
        <v>25</v>
      </c>
      <c r="BA192" s="12">
        <f t="shared" si="11"/>
        <v>5.833333333333333</v>
      </c>
      <c r="BB192" s="31">
        <v>4</v>
      </c>
      <c r="BC192" s="31">
        <v>0</v>
      </c>
      <c r="BD192" s="31">
        <v>0</v>
      </c>
      <c r="BE192" s="31">
        <v>0</v>
      </c>
      <c r="BF192" s="12">
        <f t="shared" si="12"/>
        <v>0</v>
      </c>
      <c r="BG192" s="6" t="s">
        <v>611</v>
      </c>
      <c r="BH192" s="6" t="s">
        <v>1392</v>
      </c>
      <c r="BI192" s="6">
        <v>0</v>
      </c>
      <c r="BJ192" s="6" t="s">
        <v>609</v>
      </c>
      <c r="BK192" s="6">
        <v>1</v>
      </c>
      <c r="BL192" s="6">
        <v>1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</row>
    <row r="193" spans="1:70" ht="52.8" customHeight="1" x14ac:dyDescent="0.3">
      <c r="A193" s="6">
        <v>583377</v>
      </c>
      <c r="B193" s="6" t="s">
        <v>46</v>
      </c>
      <c r="C193" s="25" t="s">
        <v>1315</v>
      </c>
      <c r="D193" s="6" t="s">
        <v>55</v>
      </c>
      <c r="E193" s="6" t="s">
        <v>15</v>
      </c>
      <c r="F193" s="7">
        <v>41870</v>
      </c>
      <c r="G193" s="7">
        <v>41927</v>
      </c>
      <c r="H193" s="8" t="s">
        <v>94</v>
      </c>
      <c r="I193" s="3" t="s">
        <v>48</v>
      </c>
      <c r="J193" s="3" t="s">
        <v>18</v>
      </c>
      <c r="K193" t="s">
        <v>19</v>
      </c>
      <c r="L193" s="6" t="s">
        <v>695</v>
      </c>
      <c r="M193" s="14" t="s">
        <v>724</v>
      </c>
      <c r="N193" s="6" t="s">
        <v>657</v>
      </c>
      <c r="O193" s="6">
        <v>0</v>
      </c>
      <c r="P193" s="6" t="s">
        <v>1029</v>
      </c>
      <c r="Q193" s="35">
        <v>0</v>
      </c>
      <c r="R193" s="35">
        <v>0</v>
      </c>
      <c r="S193" s="35">
        <v>1</v>
      </c>
      <c r="T193" s="35">
        <v>0</v>
      </c>
      <c r="U193" s="35">
        <v>0</v>
      </c>
      <c r="V193" s="35">
        <v>0</v>
      </c>
      <c r="W193" s="35">
        <v>0</v>
      </c>
      <c r="X193" s="6" t="s">
        <v>780</v>
      </c>
      <c r="Y193" s="6">
        <v>1</v>
      </c>
      <c r="Z193" s="6">
        <v>1</v>
      </c>
      <c r="AA193" s="6">
        <v>0</v>
      </c>
      <c r="AB193" s="6">
        <v>0</v>
      </c>
      <c r="AC193" s="6">
        <v>0</v>
      </c>
      <c r="AD193" s="14" t="s">
        <v>21</v>
      </c>
      <c r="AE193" s="13" t="s">
        <v>415</v>
      </c>
      <c r="AF193" s="13" t="s">
        <v>1317</v>
      </c>
      <c r="AG193" s="8" t="s">
        <v>1348</v>
      </c>
      <c r="AH193" s="11">
        <v>40624</v>
      </c>
      <c r="AI193" s="10">
        <v>678</v>
      </c>
      <c r="AJ193" s="12">
        <v>50</v>
      </c>
      <c r="AK193" s="12">
        <f t="shared" si="14"/>
        <v>7.3746312684365778</v>
      </c>
      <c r="AL193" s="12" t="str">
        <f t="shared" si="13"/>
        <v>Até 10%</v>
      </c>
      <c r="AM193" s="6" t="s">
        <v>1316</v>
      </c>
      <c r="AN193" s="6" t="s">
        <v>1455</v>
      </c>
      <c r="AO193" s="6" t="s">
        <v>701</v>
      </c>
      <c r="AP193" s="6">
        <v>1</v>
      </c>
      <c r="AQ193" s="6" t="s">
        <v>667</v>
      </c>
      <c r="AR193" s="6" t="s">
        <v>1400</v>
      </c>
      <c r="AS193" s="6">
        <v>0</v>
      </c>
      <c r="AT193" s="6">
        <v>0</v>
      </c>
      <c r="AU193" s="6">
        <v>0</v>
      </c>
      <c r="AV193" s="6">
        <v>0</v>
      </c>
      <c r="AW193" s="6" t="s">
        <v>1318</v>
      </c>
      <c r="AX193" s="31">
        <v>1</v>
      </c>
      <c r="AY193" s="31">
        <v>4</v>
      </c>
      <c r="AZ193" s="31">
        <v>0</v>
      </c>
      <c r="BA193" s="12">
        <f t="shared" si="11"/>
        <v>16.166666666666668</v>
      </c>
      <c r="BB193" s="31">
        <v>6</v>
      </c>
      <c r="BC193" s="31">
        <v>0</v>
      </c>
      <c r="BD193" s="31">
        <v>0</v>
      </c>
      <c r="BE193" s="31">
        <v>0</v>
      </c>
      <c r="BF193" s="12">
        <f t="shared" si="12"/>
        <v>0</v>
      </c>
      <c r="BG193" s="6" t="s">
        <v>636</v>
      </c>
      <c r="BH193" s="6" t="s">
        <v>1394</v>
      </c>
      <c r="BI193" s="6">
        <v>1</v>
      </c>
      <c r="BJ193" s="6" t="s">
        <v>609</v>
      </c>
      <c r="BK193" s="6">
        <v>0</v>
      </c>
      <c r="BL193" s="6">
        <v>0</v>
      </c>
      <c r="BM193" s="6">
        <v>1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</row>
    <row r="194" spans="1:70" ht="52.8" customHeight="1" x14ac:dyDescent="0.3">
      <c r="A194" s="6">
        <v>681583</v>
      </c>
      <c r="B194" s="6" t="s">
        <v>46</v>
      </c>
      <c r="C194" s="15" t="s">
        <v>416</v>
      </c>
      <c r="D194" s="6" t="s">
        <v>14</v>
      </c>
      <c r="E194" s="6" t="s">
        <v>15</v>
      </c>
      <c r="F194" s="7">
        <v>42100</v>
      </c>
      <c r="G194" s="7">
        <v>42271</v>
      </c>
      <c r="H194" s="8" t="s">
        <v>111</v>
      </c>
      <c r="I194" s="3" t="s">
        <v>17</v>
      </c>
      <c r="J194" s="3" t="s">
        <v>18</v>
      </c>
      <c r="K194" t="s">
        <v>19</v>
      </c>
      <c r="L194" s="6" t="s">
        <v>696</v>
      </c>
      <c r="M194" s="14" t="s">
        <v>977</v>
      </c>
      <c r="N194" s="6" t="s">
        <v>703</v>
      </c>
      <c r="O194" s="6">
        <v>1</v>
      </c>
      <c r="P194" s="6" t="s">
        <v>714</v>
      </c>
      <c r="Q194" s="35">
        <v>1</v>
      </c>
      <c r="R194" s="35">
        <v>0</v>
      </c>
      <c r="S194" s="35">
        <v>0</v>
      </c>
      <c r="T194" s="35">
        <v>0</v>
      </c>
      <c r="U194" s="35">
        <v>0</v>
      </c>
      <c r="V194" s="35">
        <v>0</v>
      </c>
      <c r="W194" s="35">
        <v>0</v>
      </c>
      <c r="X194" s="6" t="s">
        <v>780</v>
      </c>
      <c r="Y194" s="6">
        <v>1</v>
      </c>
      <c r="Z194" s="6">
        <v>1</v>
      </c>
      <c r="AA194" s="6">
        <v>0</v>
      </c>
      <c r="AB194" s="6">
        <v>0</v>
      </c>
      <c r="AC194" s="6">
        <v>0</v>
      </c>
      <c r="AD194" s="14" t="s">
        <v>21</v>
      </c>
      <c r="AE194" s="13" t="s">
        <v>417</v>
      </c>
      <c r="AF194" s="13" t="s">
        <v>23</v>
      </c>
      <c r="AG194" s="8" t="s">
        <v>1357</v>
      </c>
      <c r="AH194" s="11">
        <v>39921</v>
      </c>
      <c r="AI194" s="10">
        <v>465</v>
      </c>
      <c r="AJ194" s="12">
        <v>50</v>
      </c>
      <c r="AK194" s="12">
        <f t="shared" si="14"/>
        <v>10.75268817204301</v>
      </c>
      <c r="AL194" s="12" t="str">
        <f t="shared" si="13"/>
        <v>10% a 25%</v>
      </c>
      <c r="AM194" s="6" t="s">
        <v>618</v>
      </c>
      <c r="AN194" s="6" t="s">
        <v>618</v>
      </c>
      <c r="AO194" s="6" t="s">
        <v>699</v>
      </c>
      <c r="AP194" s="6">
        <v>0</v>
      </c>
      <c r="AQ194" s="6" t="s">
        <v>777</v>
      </c>
      <c r="AR194" s="6" t="s">
        <v>1401</v>
      </c>
      <c r="AS194" s="6">
        <v>0</v>
      </c>
      <c r="AT194" s="6">
        <v>0</v>
      </c>
      <c r="AU194" s="6">
        <v>0</v>
      </c>
      <c r="AV194" s="6">
        <v>0</v>
      </c>
      <c r="AW194" s="6" t="s">
        <v>1077</v>
      </c>
      <c r="AX194" s="31">
        <v>0</v>
      </c>
      <c r="AY194" s="31">
        <v>0</v>
      </c>
      <c r="AZ194" s="31">
        <v>0</v>
      </c>
      <c r="BA194" s="12">
        <f t="shared" si="11"/>
        <v>0</v>
      </c>
      <c r="BB194" s="31">
        <v>5</v>
      </c>
      <c r="BC194" s="31">
        <v>0</v>
      </c>
      <c r="BD194" s="31">
        <v>0</v>
      </c>
      <c r="BE194" s="31">
        <v>0</v>
      </c>
      <c r="BF194" s="12">
        <f t="shared" si="12"/>
        <v>0</v>
      </c>
      <c r="BG194" s="6">
        <v>0</v>
      </c>
      <c r="BH194" s="6">
        <v>0</v>
      </c>
      <c r="BI194" s="6">
        <v>0</v>
      </c>
      <c r="BJ194" s="6" t="s">
        <v>609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</row>
    <row r="195" spans="1:70" ht="52.8" customHeight="1" x14ac:dyDescent="0.3">
      <c r="A195" s="6">
        <v>300510</v>
      </c>
      <c r="B195" s="6" t="s">
        <v>24</v>
      </c>
      <c r="C195" s="27" t="s">
        <v>1339</v>
      </c>
      <c r="D195" s="6" t="s">
        <v>14</v>
      </c>
      <c r="E195" s="6" t="s">
        <v>15</v>
      </c>
      <c r="F195" s="7">
        <v>42019</v>
      </c>
      <c r="G195" s="7">
        <v>42102</v>
      </c>
      <c r="H195" s="8" t="s">
        <v>111</v>
      </c>
      <c r="I195" s="3" t="s">
        <v>48</v>
      </c>
      <c r="J195" s="3" t="s">
        <v>18</v>
      </c>
      <c r="K195" t="s">
        <v>19</v>
      </c>
      <c r="L195" s="6" t="s">
        <v>696</v>
      </c>
      <c r="M195" s="14" t="s">
        <v>848</v>
      </c>
      <c r="N195" s="6" t="s">
        <v>657</v>
      </c>
      <c r="O195" s="6">
        <v>0</v>
      </c>
      <c r="P195" s="6" t="s">
        <v>707</v>
      </c>
      <c r="Q195" s="35">
        <v>0</v>
      </c>
      <c r="R195" s="35">
        <v>1</v>
      </c>
      <c r="S195" s="35">
        <v>0</v>
      </c>
      <c r="T195" s="35">
        <v>0</v>
      </c>
      <c r="U195" s="35">
        <v>0</v>
      </c>
      <c r="V195" s="35">
        <v>0</v>
      </c>
      <c r="W195" s="35">
        <v>0</v>
      </c>
      <c r="X195" s="6" t="s">
        <v>801</v>
      </c>
      <c r="Y195" s="6">
        <v>1</v>
      </c>
      <c r="Z195" s="6">
        <v>0</v>
      </c>
      <c r="AA195" s="6">
        <v>0</v>
      </c>
      <c r="AB195" s="6">
        <v>1</v>
      </c>
      <c r="AC195" s="6">
        <v>0</v>
      </c>
      <c r="AD195" s="14" t="s">
        <v>21</v>
      </c>
      <c r="AE195" s="13" t="s">
        <v>418</v>
      </c>
      <c r="AF195" s="13" t="s">
        <v>23</v>
      </c>
      <c r="AG195" s="8" t="s">
        <v>1357</v>
      </c>
      <c r="AH195" s="11">
        <v>41389</v>
      </c>
      <c r="AI195" s="10">
        <v>678</v>
      </c>
      <c r="AJ195" s="12">
        <v>68.3</v>
      </c>
      <c r="AK195" s="12">
        <f t="shared" si="14"/>
        <v>10.073746312684365</v>
      </c>
      <c r="AL195" s="12" t="str">
        <f t="shared" si="13"/>
        <v>10% a 25%</v>
      </c>
      <c r="AM195" s="6" t="s">
        <v>737</v>
      </c>
      <c r="AN195" s="6" t="s">
        <v>1454</v>
      </c>
      <c r="AO195" s="6" t="s">
        <v>699</v>
      </c>
      <c r="AP195" s="6">
        <v>0</v>
      </c>
      <c r="AQ195" s="6" t="s">
        <v>1417</v>
      </c>
      <c r="AR195" s="6" t="s">
        <v>1399</v>
      </c>
      <c r="AS195" s="6">
        <v>1</v>
      </c>
      <c r="AT195" s="6">
        <v>0</v>
      </c>
      <c r="AU195" s="6">
        <v>1</v>
      </c>
      <c r="AV195" s="6">
        <v>0</v>
      </c>
      <c r="AW195" s="6" t="s">
        <v>1127</v>
      </c>
      <c r="AX195" s="31">
        <v>1</v>
      </c>
      <c r="AY195" s="31">
        <v>9</v>
      </c>
      <c r="AZ195" s="31">
        <v>0</v>
      </c>
      <c r="BA195" s="12">
        <f t="shared" ref="BA195:BA258" si="15">(AX195*365+AY195*30+AZ195)/30</f>
        <v>21.166666666666668</v>
      </c>
      <c r="BB195" s="31">
        <v>17</v>
      </c>
      <c r="BC195" s="31">
        <v>0</v>
      </c>
      <c r="BD195" s="31">
        <v>0</v>
      </c>
      <c r="BE195" s="31">
        <v>0</v>
      </c>
      <c r="BF195" s="12">
        <f t="shared" ref="BF195:BF258" si="16">(BC195*365+BD195*30+BE195)/30</f>
        <v>0</v>
      </c>
      <c r="BG195" s="6" t="s">
        <v>615</v>
      </c>
      <c r="BH195" s="6" t="s">
        <v>1393</v>
      </c>
      <c r="BI195" s="6">
        <v>0</v>
      </c>
      <c r="BJ195" s="23" t="s">
        <v>609</v>
      </c>
      <c r="BK195" s="23">
        <v>1</v>
      </c>
      <c r="BL195" s="23">
        <v>1</v>
      </c>
      <c r="BM195" s="23">
        <v>0</v>
      </c>
      <c r="BN195" s="23">
        <v>0</v>
      </c>
      <c r="BO195" s="6">
        <v>0</v>
      </c>
      <c r="BP195" s="6">
        <v>0</v>
      </c>
      <c r="BQ195" s="6">
        <v>0</v>
      </c>
      <c r="BR195" s="6">
        <v>0</v>
      </c>
    </row>
    <row r="196" spans="1:70" ht="52.8" customHeight="1" x14ac:dyDescent="0.3">
      <c r="A196" s="6">
        <v>304567</v>
      </c>
      <c r="B196" s="6" t="s">
        <v>24</v>
      </c>
      <c r="C196" s="22" t="s">
        <v>1296</v>
      </c>
      <c r="D196" s="6" t="s">
        <v>106</v>
      </c>
      <c r="E196" s="6" t="s">
        <v>15</v>
      </c>
      <c r="F196" s="7">
        <v>42320</v>
      </c>
      <c r="G196" s="7">
        <v>42327</v>
      </c>
      <c r="H196" s="8" t="s">
        <v>118</v>
      </c>
      <c r="I196" s="3" t="s">
        <v>17</v>
      </c>
      <c r="J196" s="3" t="s">
        <v>18</v>
      </c>
      <c r="K196" t="s">
        <v>19</v>
      </c>
      <c r="L196" s="6" t="s">
        <v>696</v>
      </c>
      <c r="M196" s="14" t="s">
        <v>848</v>
      </c>
      <c r="N196" s="23" t="s">
        <v>657</v>
      </c>
      <c r="O196" s="23">
        <v>0</v>
      </c>
      <c r="P196" s="23" t="s">
        <v>1297</v>
      </c>
      <c r="Q196" s="35">
        <v>0</v>
      </c>
      <c r="R196" s="35">
        <v>1</v>
      </c>
      <c r="S196" s="35">
        <v>0</v>
      </c>
      <c r="T196" s="35">
        <v>0</v>
      </c>
      <c r="U196" s="35">
        <v>0</v>
      </c>
      <c r="V196" s="35">
        <v>0</v>
      </c>
      <c r="W196" s="35">
        <v>0</v>
      </c>
      <c r="X196" s="6" t="s">
        <v>860</v>
      </c>
      <c r="Y196" s="6">
        <v>1</v>
      </c>
      <c r="Z196" s="6">
        <v>1</v>
      </c>
      <c r="AA196" s="6">
        <v>1</v>
      </c>
      <c r="AB196" s="6">
        <v>1</v>
      </c>
      <c r="AC196" s="6">
        <v>1</v>
      </c>
      <c r="AD196" s="14" t="s">
        <v>21</v>
      </c>
      <c r="AE196" s="13" t="s">
        <v>419</v>
      </c>
      <c r="AF196" s="13" t="s">
        <v>108</v>
      </c>
      <c r="AG196" s="8" t="s">
        <v>1357</v>
      </c>
      <c r="AH196" s="11">
        <v>40981</v>
      </c>
      <c r="AI196" s="10">
        <v>622</v>
      </c>
      <c r="AJ196" s="12">
        <v>65</v>
      </c>
      <c r="AK196" s="12">
        <f t="shared" si="14"/>
        <v>10.45016077170418</v>
      </c>
      <c r="AL196" s="12" t="str">
        <f t="shared" si="13"/>
        <v>10% a 25%</v>
      </c>
      <c r="AM196" s="6" t="s">
        <v>1298</v>
      </c>
      <c r="AN196" s="6" t="s">
        <v>1454</v>
      </c>
      <c r="AO196" s="6" t="s">
        <v>701</v>
      </c>
      <c r="AP196" s="6">
        <v>1</v>
      </c>
      <c r="AQ196" s="6" t="s">
        <v>658</v>
      </c>
      <c r="AR196" s="6" t="s">
        <v>1399</v>
      </c>
      <c r="AS196" s="6">
        <v>0</v>
      </c>
      <c r="AT196" s="6">
        <v>0</v>
      </c>
      <c r="AU196" s="6">
        <v>0</v>
      </c>
      <c r="AV196" s="6">
        <v>0</v>
      </c>
      <c r="AW196" s="6" t="s">
        <v>1299</v>
      </c>
      <c r="AX196" s="31">
        <v>1</v>
      </c>
      <c r="AY196" s="31">
        <v>6</v>
      </c>
      <c r="AZ196" s="31">
        <v>20</v>
      </c>
      <c r="BA196" s="12">
        <f t="shared" si="15"/>
        <v>18.833333333333332</v>
      </c>
      <c r="BB196" s="31">
        <v>20</v>
      </c>
      <c r="BC196" s="31">
        <v>0</v>
      </c>
      <c r="BD196" s="31">
        <v>0</v>
      </c>
      <c r="BE196" s="31">
        <v>0</v>
      </c>
      <c r="BF196" s="12">
        <f t="shared" si="16"/>
        <v>0</v>
      </c>
      <c r="BG196" s="6" t="s">
        <v>615</v>
      </c>
      <c r="BH196" s="6" t="s">
        <v>1393</v>
      </c>
      <c r="BI196" s="6">
        <v>0</v>
      </c>
      <c r="BJ196" s="6" t="s">
        <v>609</v>
      </c>
      <c r="BK196" s="6">
        <v>0</v>
      </c>
      <c r="BL196" s="6">
        <v>1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</row>
    <row r="197" spans="1:70" ht="52.8" customHeight="1" x14ac:dyDescent="0.3">
      <c r="A197" s="6">
        <v>684828</v>
      </c>
      <c r="B197" s="6" t="s">
        <v>46</v>
      </c>
      <c r="C197" s="15" t="s">
        <v>420</v>
      </c>
      <c r="D197" s="6" t="s">
        <v>28</v>
      </c>
      <c r="E197" s="6" t="s">
        <v>15</v>
      </c>
      <c r="F197" s="7">
        <v>42108</v>
      </c>
      <c r="G197" s="7">
        <v>42583</v>
      </c>
      <c r="H197" s="8" t="s">
        <v>42</v>
      </c>
      <c r="I197" s="3" t="s">
        <v>48</v>
      </c>
      <c r="J197" s="3" t="s">
        <v>18</v>
      </c>
      <c r="K197" t="s">
        <v>19</v>
      </c>
      <c r="L197" s="6" t="s">
        <v>696</v>
      </c>
      <c r="M197" s="14" t="s">
        <v>977</v>
      </c>
      <c r="N197" s="6" t="s">
        <v>703</v>
      </c>
      <c r="O197" s="6">
        <v>1</v>
      </c>
      <c r="P197" s="6" t="s">
        <v>1363</v>
      </c>
      <c r="Q197" s="35">
        <v>1</v>
      </c>
      <c r="R197" s="35">
        <v>0</v>
      </c>
      <c r="S197" s="35">
        <v>0</v>
      </c>
      <c r="T197" s="35">
        <v>0</v>
      </c>
      <c r="U197" s="35">
        <v>0</v>
      </c>
      <c r="V197" s="35">
        <v>0</v>
      </c>
      <c r="W197" s="35">
        <v>0</v>
      </c>
      <c r="X197" s="6" t="s">
        <v>860</v>
      </c>
      <c r="Y197" s="6">
        <v>1</v>
      </c>
      <c r="Z197" s="6">
        <v>1</v>
      </c>
      <c r="AA197" s="6">
        <v>1</v>
      </c>
      <c r="AB197" s="6">
        <v>1</v>
      </c>
      <c r="AC197" s="6">
        <v>1</v>
      </c>
      <c r="AD197" s="14" t="s">
        <v>21</v>
      </c>
      <c r="AE197" s="13" t="s">
        <v>421</v>
      </c>
      <c r="AF197" s="13" t="s">
        <v>32</v>
      </c>
      <c r="AG197" s="8" t="s">
        <v>1357</v>
      </c>
      <c r="AH197" s="11">
        <v>40604</v>
      </c>
      <c r="AI197" s="10">
        <v>545</v>
      </c>
      <c r="AJ197" s="12">
        <v>100</v>
      </c>
      <c r="AK197" s="12">
        <f t="shared" si="14"/>
        <v>18.348623853211009</v>
      </c>
      <c r="AL197" s="12" t="str">
        <f t="shared" ref="AL197:AL260" si="17">IF(AK197=0,"Não Informado",IF(AK197&lt;=10,"Até 10%",IF(AK197&lt;=25,"10% a 25%",IF(AK197&lt;=50,"25% a 50%","Acima de 50%"))))</f>
        <v>10% a 25%</v>
      </c>
      <c r="AM197" s="6" t="s">
        <v>786</v>
      </c>
      <c r="AN197" s="6" t="s">
        <v>1455</v>
      </c>
      <c r="AO197" s="6" t="s">
        <v>699</v>
      </c>
      <c r="AP197" s="6">
        <v>0</v>
      </c>
      <c r="AQ197" s="6" t="s">
        <v>742</v>
      </c>
      <c r="AR197" s="6" t="s">
        <v>1400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31">
        <v>0</v>
      </c>
      <c r="AY197" s="31">
        <v>0</v>
      </c>
      <c r="AZ197" s="31">
        <v>0</v>
      </c>
      <c r="BA197" s="12">
        <f t="shared" si="15"/>
        <v>0</v>
      </c>
      <c r="BB197" s="31">
        <v>0</v>
      </c>
      <c r="BC197" s="31">
        <v>0</v>
      </c>
      <c r="BD197" s="31">
        <v>0</v>
      </c>
      <c r="BE197" s="31">
        <v>0</v>
      </c>
      <c r="BF197" s="12">
        <f t="shared" si="16"/>
        <v>0</v>
      </c>
      <c r="BG197" s="6">
        <v>0</v>
      </c>
      <c r="BH197" s="6">
        <v>0</v>
      </c>
      <c r="BI197" s="6">
        <v>0</v>
      </c>
      <c r="BJ197" s="6" t="s">
        <v>620</v>
      </c>
      <c r="BK197" s="6">
        <v>0</v>
      </c>
      <c r="BL197" s="6">
        <v>0</v>
      </c>
      <c r="BM197" s="6">
        <v>0</v>
      </c>
      <c r="BN197" s="6">
        <v>0</v>
      </c>
      <c r="BO197" s="6" t="s">
        <v>1078</v>
      </c>
      <c r="BP197" s="6">
        <v>0</v>
      </c>
      <c r="BQ197" s="6">
        <v>0</v>
      </c>
      <c r="BR197" s="6">
        <v>0</v>
      </c>
    </row>
    <row r="198" spans="1:70" ht="52.8" customHeight="1" x14ac:dyDescent="0.3">
      <c r="A198" s="6">
        <v>1503539</v>
      </c>
      <c r="B198" s="6" t="s">
        <v>13</v>
      </c>
      <c r="C198" s="15" t="s">
        <v>1079</v>
      </c>
      <c r="D198" s="6" t="s">
        <v>226</v>
      </c>
      <c r="E198" s="6" t="s">
        <v>15</v>
      </c>
      <c r="F198" s="7">
        <v>41995</v>
      </c>
      <c r="G198" s="7">
        <v>42236</v>
      </c>
      <c r="H198" s="8" t="s">
        <v>94</v>
      </c>
      <c r="I198" s="3" t="s">
        <v>17</v>
      </c>
      <c r="J198" s="3" t="s">
        <v>18</v>
      </c>
      <c r="K198" t="s">
        <v>19</v>
      </c>
      <c r="L198" s="6" t="s">
        <v>695</v>
      </c>
      <c r="M198" s="14" t="s">
        <v>626</v>
      </c>
      <c r="N198" s="6" t="s">
        <v>703</v>
      </c>
      <c r="O198" s="6">
        <v>1</v>
      </c>
      <c r="P198" s="6" t="s">
        <v>1088</v>
      </c>
      <c r="Q198" s="35">
        <v>1</v>
      </c>
      <c r="R198" s="35">
        <v>0</v>
      </c>
      <c r="S198" s="35">
        <v>0</v>
      </c>
      <c r="T198" s="35">
        <v>0</v>
      </c>
      <c r="U198" s="35">
        <v>1</v>
      </c>
      <c r="V198" s="35">
        <v>0</v>
      </c>
      <c r="W198" s="35">
        <v>0</v>
      </c>
      <c r="X198" s="6" t="s">
        <v>780</v>
      </c>
      <c r="Y198" s="6">
        <v>1</v>
      </c>
      <c r="Z198" s="6">
        <v>1</v>
      </c>
      <c r="AA198" s="6">
        <v>0</v>
      </c>
      <c r="AB198" s="6">
        <v>0</v>
      </c>
      <c r="AC198" s="6">
        <v>0</v>
      </c>
      <c r="AD198" s="14" t="s">
        <v>43</v>
      </c>
      <c r="AE198" s="13" t="s">
        <v>422</v>
      </c>
      <c r="AF198" s="13" t="s">
        <v>1080</v>
      </c>
      <c r="AG198" s="8" t="s">
        <v>1349</v>
      </c>
      <c r="AH198" s="11">
        <v>40733</v>
      </c>
      <c r="AI198" s="10">
        <v>545</v>
      </c>
      <c r="AJ198" s="12">
        <v>60</v>
      </c>
      <c r="AK198" s="12">
        <f t="shared" si="14"/>
        <v>11.009174311926607</v>
      </c>
      <c r="AL198" s="12" t="str">
        <f t="shared" si="17"/>
        <v>10% a 25%</v>
      </c>
      <c r="AM198" s="6" t="s">
        <v>786</v>
      </c>
      <c r="AN198" s="6" t="s">
        <v>1455</v>
      </c>
      <c r="AO198" s="6" t="s">
        <v>701</v>
      </c>
      <c r="AP198" s="6">
        <v>1</v>
      </c>
      <c r="AQ198" s="6" t="s">
        <v>613</v>
      </c>
      <c r="AR198" s="6" t="s">
        <v>1399</v>
      </c>
      <c r="AS198" s="6">
        <v>1</v>
      </c>
      <c r="AT198" s="6">
        <v>0</v>
      </c>
      <c r="AU198" s="6">
        <v>0</v>
      </c>
      <c r="AV198" s="6">
        <v>0</v>
      </c>
      <c r="AW198" s="6" t="s">
        <v>1081</v>
      </c>
      <c r="AX198" s="31">
        <v>2</v>
      </c>
      <c r="AY198" s="31">
        <v>1</v>
      </c>
      <c r="AZ198" s="31">
        <v>0</v>
      </c>
      <c r="BA198" s="12">
        <f t="shared" si="15"/>
        <v>25.333333333333332</v>
      </c>
      <c r="BB198" s="31">
        <v>55</v>
      </c>
      <c r="BC198" s="31">
        <v>0</v>
      </c>
      <c r="BD198" s="31">
        <v>0</v>
      </c>
      <c r="BE198" s="31">
        <v>0</v>
      </c>
      <c r="BF198" s="12">
        <f t="shared" si="16"/>
        <v>0</v>
      </c>
      <c r="BG198" s="6" t="s">
        <v>637</v>
      </c>
      <c r="BH198" s="6" t="s">
        <v>1394</v>
      </c>
      <c r="BI198" s="6">
        <v>0</v>
      </c>
      <c r="BJ198" s="6" t="s">
        <v>617</v>
      </c>
      <c r="BK198" s="6">
        <v>0</v>
      </c>
      <c r="BL198" s="6">
        <v>0</v>
      </c>
      <c r="BM198" s="6">
        <v>0</v>
      </c>
      <c r="BN198" s="6">
        <v>1</v>
      </c>
      <c r="BO198" s="6" t="s">
        <v>1082</v>
      </c>
      <c r="BP198" s="6">
        <v>0</v>
      </c>
      <c r="BQ198" s="6">
        <v>0</v>
      </c>
      <c r="BR198" s="6">
        <v>0</v>
      </c>
    </row>
    <row r="199" spans="1:70" ht="52.8" customHeight="1" x14ac:dyDescent="0.3">
      <c r="A199" s="6">
        <v>562234</v>
      </c>
      <c r="B199" s="6" t="s">
        <v>46</v>
      </c>
      <c r="C199" s="33" t="s">
        <v>423</v>
      </c>
      <c r="D199" s="6" t="s">
        <v>55</v>
      </c>
      <c r="E199" s="6" t="s">
        <v>15</v>
      </c>
      <c r="F199" s="7" t="s">
        <v>1083</v>
      </c>
      <c r="G199" s="7">
        <v>41962</v>
      </c>
      <c r="H199" s="8" t="s">
        <v>94</v>
      </c>
      <c r="I199" s="3" t="s">
        <v>48</v>
      </c>
      <c r="J199" s="3" t="s">
        <v>18</v>
      </c>
      <c r="K199" t="s">
        <v>19</v>
      </c>
      <c r="L199" s="6" t="s">
        <v>695</v>
      </c>
      <c r="M199" s="14" t="s">
        <v>626</v>
      </c>
      <c r="N199" s="6" t="s">
        <v>657</v>
      </c>
      <c r="O199" s="6">
        <v>0</v>
      </c>
      <c r="P199" s="6" t="s">
        <v>1041</v>
      </c>
      <c r="Q199" s="35">
        <v>1</v>
      </c>
      <c r="R199" s="35">
        <v>0</v>
      </c>
      <c r="S199" s="35">
        <v>1</v>
      </c>
      <c r="T199" s="35">
        <v>0</v>
      </c>
      <c r="U199" s="35">
        <v>0</v>
      </c>
      <c r="V199" s="35">
        <v>0</v>
      </c>
      <c r="W199" s="35">
        <v>0</v>
      </c>
      <c r="X199" s="6" t="s">
        <v>780</v>
      </c>
      <c r="Y199" s="6">
        <v>1</v>
      </c>
      <c r="Z199" s="6">
        <v>1</v>
      </c>
      <c r="AA199" s="6">
        <v>0</v>
      </c>
      <c r="AB199" s="6">
        <v>0</v>
      </c>
      <c r="AC199" s="6">
        <v>0</v>
      </c>
      <c r="AD199" s="14" t="s">
        <v>21</v>
      </c>
      <c r="AE199" s="13" t="s">
        <v>87</v>
      </c>
      <c r="AF199" s="13" t="s">
        <v>1084</v>
      </c>
      <c r="AG199" s="8" t="s">
        <v>1349</v>
      </c>
      <c r="AH199" s="11">
        <v>41000</v>
      </c>
      <c r="AI199" s="10">
        <v>622</v>
      </c>
      <c r="AJ199" s="12">
        <v>88.1</v>
      </c>
      <c r="AK199" s="12">
        <f t="shared" si="14"/>
        <v>14.163987138263664</v>
      </c>
      <c r="AL199" s="12" t="str">
        <f t="shared" si="17"/>
        <v>10% a 25%</v>
      </c>
      <c r="AM199" s="6" t="s">
        <v>666</v>
      </c>
      <c r="AN199" s="6" t="s">
        <v>1454</v>
      </c>
      <c r="AO199" s="6" t="s">
        <v>699</v>
      </c>
      <c r="AP199" s="6">
        <v>0</v>
      </c>
      <c r="AQ199" s="6" t="s">
        <v>667</v>
      </c>
      <c r="AR199" s="6" t="s">
        <v>1400</v>
      </c>
      <c r="AS199" s="6">
        <v>0</v>
      </c>
      <c r="AT199" s="6">
        <v>0</v>
      </c>
      <c r="AU199" s="6">
        <v>0</v>
      </c>
      <c r="AV199" s="6">
        <v>0</v>
      </c>
      <c r="AW199" s="6" t="s">
        <v>1085</v>
      </c>
      <c r="AX199" s="31">
        <v>1</v>
      </c>
      <c r="AY199" s="31">
        <v>3</v>
      </c>
      <c r="AZ199" s="31">
        <v>0</v>
      </c>
      <c r="BA199" s="12">
        <f t="shared" si="15"/>
        <v>15.166666666666666</v>
      </c>
      <c r="BB199" s="31">
        <v>6</v>
      </c>
      <c r="BC199" s="31">
        <v>0</v>
      </c>
      <c r="BD199" s="31">
        <v>0</v>
      </c>
      <c r="BE199" s="31">
        <v>0</v>
      </c>
      <c r="BF199" s="12">
        <f t="shared" si="16"/>
        <v>0</v>
      </c>
      <c r="BG199" s="6" t="s">
        <v>615</v>
      </c>
      <c r="BH199" s="6" t="s">
        <v>1393</v>
      </c>
      <c r="BI199" s="6">
        <v>0</v>
      </c>
      <c r="BJ199" s="6" t="s">
        <v>609</v>
      </c>
      <c r="BK199" s="6">
        <v>1</v>
      </c>
      <c r="BL199" s="6">
        <v>1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</row>
    <row r="200" spans="1:70" ht="52.8" customHeight="1" x14ac:dyDescent="0.3">
      <c r="A200" s="6">
        <v>593065</v>
      </c>
      <c r="B200" s="6" t="s">
        <v>46</v>
      </c>
      <c r="C200" s="15" t="s">
        <v>424</v>
      </c>
      <c r="D200" s="6" t="s">
        <v>55</v>
      </c>
      <c r="E200" s="6" t="s">
        <v>15</v>
      </c>
      <c r="F200" s="7">
        <v>41920</v>
      </c>
      <c r="G200" s="7">
        <v>41957</v>
      </c>
      <c r="H200" s="8" t="s">
        <v>71</v>
      </c>
      <c r="I200" s="3" t="s">
        <v>17</v>
      </c>
      <c r="J200" s="3" t="s">
        <v>18</v>
      </c>
      <c r="K200" t="s">
        <v>19</v>
      </c>
      <c r="L200" s="6" t="s">
        <v>695</v>
      </c>
      <c r="M200" s="14" t="s">
        <v>626</v>
      </c>
      <c r="N200" s="6" t="s">
        <v>657</v>
      </c>
      <c r="O200" s="6">
        <v>0</v>
      </c>
      <c r="P200" s="6" t="s">
        <v>1038</v>
      </c>
      <c r="Q200" s="35">
        <v>0</v>
      </c>
      <c r="R200" s="35">
        <v>0</v>
      </c>
      <c r="S200" s="35">
        <v>1</v>
      </c>
      <c r="T200" s="35">
        <v>1</v>
      </c>
      <c r="U200" s="35">
        <v>0</v>
      </c>
      <c r="V200" s="35">
        <v>0</v>
      </c>
      <c r="W200" s="35">
        <v>0</v>
      </c>
      <c r="X200" s="6" t="s">
        <v>1002</v>
      </c>
      <c r="Y200" s="6">
        <v>1</v>
      </c>
      <c r="Z200" s="6">
        <v>0</v>
      </c>
      <c r="AA200" s="6">
        <v>0</v>
      </c>
      <c r="AB200" s="6">
        <v>1</v>
      </c>
      <c r="AC200" s="6">
        <v>1</v>
      </c>
      <c r="AD200" s="14" t="s">
        <v>21</v>
      </c>
      <c r="AE200" s="13" t="s">
        <v>425</v>
      </c>
      <c r="AF200" s="13" t="s">
        <v>976</v>
      </c>
      <c r="AG200" s="8" t="s">
        <v>1357</v>
      </c>
      <c r="AH200" s="11">
        <v>40905</v>
      </c>
      <c r="AI200" s="10">
        <v>545</v>
      </c>
      <c r="AJ200" s="12">
        <v>100</v>
      </c>
      <c r="AK200" s="12">
        <f t="shared" si="14"/>
        <v>18.348623853211009</v>
      </c>
      <c r="AL200" s="12" t="str">
        <f t="shared" si="17"/>
        <v>10% a 25%</v>
      </c>
      <c r="AM200" s="6" t="s">
        <v>938</v>
      </c>
      <c r="AN200" s="6" t="s">
        <v>1455</v>
      </c>
      <c r="AO200" s="6" t="s">
        <v>699</v>
      </c>
      <c r="AP200" s="6">
        <v>0</v>
      </c>
      <c r="AQ200" s="6" t="s">
        <v>613</v>
      </c>
      <c r="AR200" s="6" t="s">
        <v>1399</v>
      </c>
      <c r="AS200" s="6">
        <v>1</v>
      </c>
      <c r="AT200" s="6">
        <v>0</v>
      </c>
      <c r="AU200" s="6">
        <v>0</v>
      </c>
      <c r="AV200" s="6">
        <v>0</v>
      </c>
      <c r="AW200" s="6" t="s">
        <v>686</v>
      </c>
      <c r="AX200" s="31">
        <v>1</v>
      </c>
      <c r="AY200" s="31">
        <v>0</v>
      </c>
      <c r="AZ200" s="31">
        <v>0</v>
      </c>
      <c r="BA200" s="12">
        <f t="shared" si="15"/>
        <v>12.166666666666666</v>
      </c>
      <c r="BB200" s="31">
        <v>10</v>
      </c>
      <c r="BC200" s="31">
        <v>0</v>
      </c>
      <c r="BD200" s="31">
        <v>0</v>
      </c>
      <c r="BE200" s="31">
        <v>0</v>
      </c>
      <c r="BF200" s="12">
        <f t="shared" si="16"/>
        <v>0</v>
      </c>
      <c r="BG200" s="6" t="s">
        <v>615</v>
      </c>
      <c r="BH200" s="6" t="s">
        <v>1393</v>
      </c>
      <c r="BI200" s="6">
        <v>0</v>
      </c>
      <c r="BJ200" s="6" t="s">
        <v>609</v>
      </c>
      <c r="BK200" s="6">
        <v>0</v>
      </c>
      <c r="BL200" s="6">
        <v>1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</row>
    <row r="201" spans="1:70" ht="52.8" customHeight="1" x14ac:dyDescent="0.3">
      <c r="A201" s="6">
        <v>1508054</v>
      </c>
      <c r="B201" s="6" t="s">
        <v>13</v>
      </c>
      <c r="C201" s="15" t="s">
        <v>1301</v>
      </c>
      <c r="D201" s="6" t="s">
        <v>64</v>
      </c>
      <c r="E201" s="6" t="s">
        <v>15</v>
      </c>
      <c r="F201" s="7">
        <v>42024</v>
      </c>
      <c r="G201" s="7">
        <v>42185</v>
      </c>
      <c r="H201" s="8" t="s">
        <v>118</v>
      </c>
      <c r="I201" s="3" t="s">
        <v>17</v>
      </c>
      <c r="J201" s="3" t="s">
        <v>18</v>
      </c>
      <c r="K201" t="s">
        <v>19</v>
      </c>
      <c r="L201" s="6" t="s">
        <v>696</v>
      </c>
      <c r="M201" s="14" t="s">
        <v>626</v>
      </c>
      <c r="N201" s="6" t="s">
        <v>657</v>
      </c>
      <c r="O201" s="6">
        <v>0</v>
      </c>
      <c r="P201" s="6" t="s">
        <v>1029</v>
      </c>
      <c r="Q201" s="35">
        <v>0</v>
      </c>
      <c r="R201" s="35">
        <v>0</v>
      </c>
      <c r="S201" s="35">
        <v>1</v>
      </c>
      <c r="T201" s="35">
        <v>0</v>
      </c>
      <c r="U201" s="35">
        <v>0</v>
      </c>
      <c r="V201" s="35">
        <v>0</v>
      </c>
      <c r="W201" s="35">
        <v>0</v>
      </c>
      <c r="X201" s="6" t="s">
        <v>860</v>
      </c>
      <c r="Y201" s="6">
        <v>1</v>
      </c>
      <c r="Z201" s="6">
        <v>1</v>
      </c>
      <c r="AA201" s="6">
        <v>1</v>
      </c>
      <c r="AB201" s="6">
        <v>1</v>
      </c>
      <c r="AC201" s="6">
        <v>1</v>
      </c>
      <c r="AD201" s="14" t="s">
        <v>43</v>
      </c>
      <c r="AE201" s="13" t="s">
        <v>372</v>
      </c>
      <c r="AF201" s="13" t="s">
        <v>1087</v>
      </c>
      <c r="AG201" s="8" t="s">
        <v>1349</v>
      </c>
      <c r="AH201" s="11">
        <v>41041</v>
      </c>
      <c r="AI201" s="10">
        <v>622</v>
      </c>
      <c r="AJ201" s="12">
        <v>30</v>
      </c>
      <c r="AK201" s="12">
        <f t="shared" si="14"/>
        <v>4.823151125401929</v>
      </c>
      <c r="AL201" s="12" t="str">
        <f t="shared" si="17"/>
        <v>Até 10%</v>
      </c>
      <c r="AM201" s="6" t="s">
        <v>993</v>
      </c>
      <c r="AN201" s="6" t="s">
        <v>1454</v>
      </c>
      <c r="AO201" s="6" t="s">
        <v>699</v>
      </c>
      <c r="AP201" s="6">
        <v>0</v>
      </c>
      <c r="AQ201" s="6" t="s">
        <v>613</v>
      </c>
      <c r="AR201" s="6" t="s">
        <v>1399</v>
      </c>
      <c r="AS201" s="6">
        <v>1</v>
      </c>
      <c r="AT201" s="6">
        <v>0</v>
      </c>
      <c r="AU201" s="6">
        <v>0</v>
      </c>
      <c r="AV201" s="6">
        <v>0</v>
      </c>
      <c r="AW201" s="6" t="s">
        <v>812</v>
      </c>
      <c r="AX201" s="31">
        <v>2</v>
      </c>
      <c r="AY201" s="31">
        <v>0</v>
      </c>
      <c r="AZ201" s="31">
        <v>0</v>
      </c>
      <c r="BA201" s="12">
        <f t="shared" si="15"/>
        <v>24.333333333333332</v>
      </c>
      <c r="BB201" s="31">
        <v>20</v>
      </c>
      <c r="BC201" s="31">
        <v>0</v>
      </c>
      <c r="BD201" s="31">
        <v>0</v>
      </c>
      <c r="BE201" s="31">
        <v>0</v>
      </c>
      <c r="BF201" s="12">
        <f t="shared" si="16"/>
        <v>0</v>
      </c>
      <c r="BG201" s="6" t="s">
        <v>615</v>
      </c>
      <c r="BH201" s="6" t="s">
        <v>1393</v>
      </c>
      <c r="BI201" s="6">
        <v>0</v>
      </c>
      <c r="BJ201" s="6" t="s">
        <v>609</v>
      </c>
      <c r="BK201" s="6">
        <v>0</v>
      </c>
      <c r="BL201" s="6">
        <v>1</v>
      </c>
      <c r="BM201" s="6">
        <v>1</v>
      </c>
      <c r="BN201" s="6">
        <v>0</v>
      </c>
      <c r="BO201" s="6" t="s">
        <v>1086</v>
      </c>
      <c r="BP201" s="6">
        <v>0</v>
      </c>
      <c r="BQ201" s="6">
        <v>0</v>
      </c>
      <c r="BR201" s="6">
        <v>0</v>
      </c>
    </row>
    <row r="202" spans="1:70" ht="52.8" customHeight="1" x14ac:dyDescent="0.3">
      <c r="A202" s="6">
        <v>577354</v>
      </c>
      <c r="B202" s="6" t="s">
        <v>46</v>
      </c>
      <c r="C202" s="15" t="s">
        <v>426</v>
      </c>
      <c r="D202" s="6" t="s">
        <v>64</v>
      </c>
      <c r="E202" s="6" t="s">
        <v>15</v>
      </c>
      <c r="F202" s="7">
        <v>41892</v>
      </c>
      <c r="G202" s="7">
        <v>41974</v>
      </c>
      <c r="H202" s="8" t="s">
        <v>118</v>
      </c>
      <c r="I202" s="3" t="s">
        <v>48</v>
      </c>
      <c r="J202" s="3" t="s">
        <v>18</v>
      </c>
      <c r="K202" t="s">
        <v>19</v>
      </c>
      <c r="L202" s="6" t="s">
        <v>696</v>
      </c>
      <c r="M202" s="14" t="s">
        <v>626</v>
      </c>
      <c r="N202" s="6" t="s">
        <v>657</v>
      </c>
      <c r="O202" s="6">
        <v>0</v>
      </c>
      <c r="P202" s="6" t="s">
        <v>1092</v>
      </c>
      <c r="Q202" s="35">
        <v>0</v>
      </c>
      <c r="R202" s="35">
        <v>0</v>
      </c>
      <c r="S202" s="35">
        <v>0</v>
      </c>
      <c r="T202" s="35">
        <v>1</v>
      </c>
      <c r="U202" s="35">
        <v>0</v>
      </c>
      <c r="V202" s="35">
        <v>0</v>
      </c>
      <c r="W202" s="35">
        <v>0</v>
      </c>
      <c r="X202" s="6" t="s">
        <v>1091</v>
      </c>
      <c r="Y202" s="6">
        <v>1</v>
      </c>
      <c r="Z202" s="6">
        <v>0</v>
      </c>
      <c r="AA202" s="6">
        <v>1</v>
      </c>
      <c r="AB202" s="6">
        <v>1</v>
      </c>
      <c r="AC202" s="6">
        <v>0</v>
      </c>
      <c r="AD202" s="14" t="s">
        <v>21</v>
      </c>
      <c r="AE202" s="13" t="s">
        <v>427</v>
      </c>
      <c r="AF202" s="13" t="s">
        <v>66</v>
      </c>
      <c r="AG202" s="8" t="s">
        <v>1357</v>
      </c>
      <c r="AH202" s="11">
        <v>40341</v>
      </c>
      <c r="AI202" s="10">
        <v>510</v>
      </c>
      <c r="AJ202" s="12">
        <v>283</v>
      </c>
      <c r="AK202" s="12">
        <f t="shared" si="14"/>
        <v>55.490196078431374</v>
      </c>
      <c r="AL202" s="12" t="str">
        <f t="shared" si="17"/>
        <v>Acima de 50%</v>
      </c>
      <c r="AM202" s="6" t="s">
        <v>1089</v>
      </c>
      <c r="AN202" s="6" t="s">
        <v>655</v>
      </c>
      <c r="AO202" s="6" t="s">
        <v>701</v>
      </c>
      <c r="AP202" s="6">
        <v>1</v>
      </c>
      <c r="AQ202" s="6" t="s">
        <v>1093</v>
      </c>
      <c r="AR202" s="6" t="s">
        <v>1400</v>
      </c>
      <c r="AS202" s="6">
        <v>1</v>
      </c>
      <c r="AT202" s="6">
        <v>0</v>
      </c>
      <c r="AU202" s="6">
        <v>1</v>
      </c>
      <c r="AV202" s="6">
        <v>0</v>
      </c>
      <c r="AW202" s="6" t="s">
        <v>1095</v>
      </c>
      <c r="AX202" s="31">
        <v>2</v>
      </c>
      <c r="AY202" s="31">
        <v>4</v>
      </c>
      <c r="AZ202" s="31">
        <v>24</v>
      </c>
      <c r="BA202" s="12">
        <f t="shared" si="15"/>
        <v>29.133333333333333</v>
      </c>
      <c r="BB202" s="31">
        <v>30</v>
      </c>
      <c r="BC202" s="31">
        <v>0</v>
      </c>
      <c r="BD202" s="31">
        <v>0</v>
      </c>
      <c r="BE202" s="31">
        <v>0</v>
      </c>
      <c r="BF202" s="12">
        <f t="shared" si="16"/>
        <v>0</v>
      </c>
      <c r="BG202" s="6" t="s">
        <v>636</v>
      </c>
      <c r="BH202" s="6" t="s">
        <v>1394</v>
      </c>
      <c r="BI202" s="6">
        <v>1</v>
      </c>
      <c r="BJ202" s="6" t="s">
        <v>609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</row>
    <row r="203" spans="1:70" ht="52.8" customHeight="1" x14ac:dyDescent="0.3">
      <c r="A203" s="6">
        <v>1500929</v>
      </c>
      <c r="B203" s="6" t="s">
        <v>26</v>
      </c>
      <c r="C203" s="15" t="s">
        <v>428</v>
      </c>
      <c r="D203" s="6" t="s">
        <v>64</v>
      </c>
      <c r="E203" s="6" t="s">
        <v>15</v>
      </c>
      <c r="F203" s="7">
        <v>41977</v>
      </c>
      <c r="G203" s="7">
        <v>42088</v>
      </c>
      <c r="H203" s="8" t="s">
        <v>52</v>
      </c>
      <c r="I203" s="3" t="s">
        <v>48</v>
      </c>
      <c r="J203" s="3" t="s">
        <v>18</v>
      </c>
      <c r="K203" t="s">
        <v>19</v>
      </c>
      <c r="L203" s="6" t="s">
        <v>695</v>
      </c>
      <c r="M203" s="14" t="s">
        <v>724</v>
      </c>
      <c r="N203" s="6" t="s">
        <v>657</v>
      </c>
      <c r="O203" s="6">
        <v>0</v>
      </c>
      <c r="P203" s="6" t="s">
        <v>1096</v>
      </c>
      <c r="Q203" s="35">
        <v>0</v>
      </c>
      <c r="R203" s="35">
        <v>1</v>
      </c>
      <c r="S203" s="35">
        <v>0</v>
      </c>
      <c r="T203" s="35">
        <v>0</v>
      </c>
      <c r="U203" s="35">
        <v>0</v>
      </c>
      <c r="V203" s="35">
        <v>0</v>
      </c>
      <c r="W203" s="35">
        <v>0</v>
      </c>
      <c r="X203" s="6" t="s">
        <v>780</v>
      </c>
      <c r="Y203" s="6">
        <v>1</v>
      </c>
      <c r="Z203" s="6">
        <v>1</v>
      </c>
      <c r="AA203" s="6">
        <v>0</v>
      </c>
      <c r="AB203" s="6">
        <v>0</v>
      </c>
      <c r="AC203" s="6">
        <v>0</v>
      </c>
      <c r="AD203" s="14" t="s">
        <v>21</v>
      </c>
      <c r="AE203" s="13" t="s">
        <v>429</v>
      </c>
      <c r="AF203" s="13" t="s">
        <v>66</v>
      </c>
      <c r="AG203" s="8" t="s">
        <v>1357</v>
      </c>
      <c r="AH203" s="11">
        <v>40694</v>
      </c>
      <c r="AI203" s="10">
        <v>545</v>
      </c>
      <c r="AJ203" s="12">
        <v>20</v>
      </c>
      <c r="AK203" s="12">
        <f t="shared" si="14"/>
        <v>3.669724770642202</v>
      </c>
      <c r="AL203" s="12" t="str">
        <f t="shared" si="17"/>
        <v>Até 10%</v>
      </c>
      <c r="AM203" s="6" t="s">
        <v>624</v>
      </c>
      <c r="AN203" s="6" t="s">
        <v>1452</v>
      </c>
      <c r="AO203" s="6" t="s">
        <v>699</v>
      </c>
      <c r="AP203" s="6">
        <v>0</v>
      </c>
      <c r="AQ203" s="6" t="s">
        <v>682</v>
      </c>
      <c r="AR203" s="6" t="s">
        <v>1400</v>
      </c>
      <c r="AS203" s="6">
        <v>1</v>
      </c>
      <c r="AT203" s="6">
        <v>0</v>
      </c>
      <c r="AU203" s="6">
        <v>0</v>
      </c>
      <c r="AV203" s="6">
        <v>0</v>
      </c>
      <c r="AW203" s="6">
        <v>0</v>
      </c>
      <c r="AX203" s="31">
        <v>0</v>
      </c>
      <c r="AY203" s="31">
        <v>0</v>
      </c>
      <c r="AZ203" s="31">
        <v>0</v>
      </c>
      <c r="BA203" s="12">
        <f t="shared" si="15"/>
        <v>0</v>
      </c>
      <c r="BB203" s="31">
        <v>0</v>
      </c>
      <c r="BC203" s="31">
        <v>0</v>
      </c>
      <c r="BD203" s="31">
        <v>0</v>
      </c>
      <c r="BE203" s="31">
        <v>0</v>
      </c>
      <c r="BF203" s="12">
        <f t="shared" si="16"/>
        <v>0</v>
      </c>
      <c r="BG203" s="6">
        <v>0</v>
      </c>
      <c r="BH203" s="6">
        <v>0</v>
      </c>
      <c r="BI203" s="6">
        <v>0</v>
      </c>
      <c r="BJ203" s="6" t="s">
        <v>620</v>
      </c>
      <c r="BK203" s="6">
        <v>0</v>
      </c>
      <c r="BL203" s="6">
        <v>1</v>
      </c>
      <c r="BM203" s="6">
        <v>0</v>
      </c>
      <c r="BN203" s="6">
        <v>0</v>
      </c>
      <c r="BO203" s="6" t="s">
        <v>1034</v>
      </c>
      <c r="BP203" s="6">
        <v>0</v>
      </c>
      <c r="BQ203" s="6">
        <v>0</v>
      </c>
      <c r="BR203" s="6">
        <v>0</v>
      </c>
    </row>
    <row r="204" spans="1:70" ht="52.8" customHeight="1" x14ac:dyDescent="0.3">
      <c r="A204" s="6">
        <v>345775</v>
      </c>
      <c r="B204" s="6" t="s">
        <v>24</v>
      </c>
      <c r="C204" s="15" t="s">
        <v>430</v>
      </c>
      <c r="D204" s="6" t="s">
        <v>106</v>
      </c>
      <c r="E204" s="6" t="s">
        <v>15</v>
      </c>
      <c r="F204" s="7">
        <v>42355</v>
      </c>
      <c r="G204" s="7">
        <v>42479</v>
      </c>
      <c r="H204" s="8" t="s">
        <v>38</v>
      </c>
      <c r="I204" s="3" t="s">
        <v>17</v>
      </c>
      <c r="J204" s="3" t="s">
        <v>18</v>
      </c>
      <c r="K204" t="s">
        <v>19</v>
      </c>
      <c r="L204" s="6" t="s">
        <v>696</v>
      </c>
      <c r="M204" s="14" t="s">
        <v>1009</v>
      </c>
      <c r="N204" s="6" t="s">
        <v>657</v>
      </c>
      <c r="O204" s="6">
        <v>0</v>
      </c>
      <c r="P204" s="6" t="s">
        <v>1098</v>
      </c>
      <c r="Q204" s="35">
        <v>1</v>
      </c>
      <c r="R204" s="35">
        <v>1</v>
      </c>
      <c r="S204" s="35">
        <v>0</v>
      </c>
      <c r="T204" s="35">
        <v>0</v>
      </c>
      <c r="U204" s="35">
        <v>0</v>
      </c>
      <c r="V204" s="35">
        <v>0</v>
      </c>
      <c r="W204" s="35">
        <v>0</v>
      </c>
      <c r="X204" s="6" t="s">
        <v>801</v>
      </c>
      <c r="Y204" s="6">
        <v>1</v>
      </c>
      <c r="Z204" s="6">
        <v>0</v>
      </c>
      <c r="AA204" s="6">
        <v>0</v>
      </c>
      <c r="AB204" s="6">
        <v>1</v>
      </c>
      <c r="AC204" s="6">
        <v>0</v>
      </c>
      <c r="AD204" s="14" t="s">
        <v>43</v>
      </c>
      <c r="AE204" s="13" t="s">
        <v>431</v>
      </c>
      <c r="AF204" s="13" t="s">
        <v>108</v>
      </c>
      <c r="AG204" s="8" t="s">
        <v>1357</v>
      </c>
      <c r="AH204" s="11">
        <v>40455</v>
      </c>
      <c r="AI204" s="10">
        <v>510</v>
      </c>
      <c r="AJ204" s="12">
        <v>100</v>
      </c>
      <c r="AK204" s="12">
        <f t="shared" si="14"/>
        <v>19.607843137254903</v>
      </c>
      <c r="AL204" s="12" t="str">
        <f t="shared" si="17"/>
        <v>10% a 25%</v>
      </c>
      <c r="AM204" s="6" t="s">
        <v>786</v>
      </c>
      <c r="AN204" s="6" t="s">
        <v>1455</v>
      </c>
      <c r="AO204" s="6" t="s">
        <v>699</v>
      </c>
      <c r="AP204" s="6">
        <v>0</v>
      </c>
      <c r="AQ204" s="6" t="s">
        <v>613</v>
      </c>
      <c r="AR204" s="6" t="s">
        <v>1399</v>
      </c>
      <c r="AS204" s="6">
        <v>1</v>
      </c>
      <c r="AT204" s="6">
        <v>0</v>
      </c>
      <c r="AU204" s="6">
        <v>0</v>
      </c>
      <c r="AV204" s="6">
        <v>0</v>
      </c>
      <c r="AW204" s="6" t="s">
        <v>1097</v>
      </c>
      <c r="AX204" s="31">
        <v>1</v>
      </c>
      <c r="AY204" s="31">
        <v>9</v>
      </c>
      <c r="AZ204" s="31">
        <v>0</v>
      </c>
      <c r="BA204" s="12">
        <f t="shared" si="15"/>
        <v>21.166666666666668</v>
      </c>
      <c r="BB204" s="31">
        <v>40</v>
      </c>
      <c r="BC204" s="31">
        <v>0</v>
      </c>
      <c r="BD204" s="31">
        <v>0</v>
      </c>
      <c r="BE204" s="31">
        <v>0</v>
      </c>
      <c r="BF204" s="12">
        <f t="shared" si="16"/>
        <v>0</v>
      </c>
      <c r="BG204" s="6" t="s">
        <v>637</v>
      </c>
      <c r="BH204" s="6" t="s">
        <v>1394</v>
      </c>
      <c r="BI204" s="6">
        <v>0</v>
      </c>
      <c r="BJ204" s="6" t="s">
        <v>609</v>
      </c>
      <c r="BK204" s="6">
        <v>1</v>
      </c>
      <c r="BL204" s="6">
        <v>1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</row>
    <row r="205" spans="1:70" ht="52.8" customHeight="1" x14ac:dyDescent="0.3">
      <c r="A205" s="6">
        <v>694006</v>
      </c>
      <c r="B205" s="6" t="s">
        <v>13</v>
      </c>
      <c r="C205" s="15" t="s">
        <v>1099</v>
      </c>
      <c r="D205" s="6" t="s">
        <v>14</v>
      </c>
      <c r="E205" s="6" t="s">
        <v>15</v>
      </c>
      <c r="F205" s="7">
        <v>42128</v>
      </c>
      <c r="G205" s="7">
        <v>42313</v>
      </c>
      <c r="H205" s="8" t="s">
        <v>38</v>
      </c>
      <c r="I205" s="3" t="s">
        <v>48</v>
      </c>
      <c r="J205" s="3" t="s">
        <v>18</v>
      </c>
      <c r="K205" t="s">
        <v>19</v>
      </c>
      <c r="L205" s="6" t="s">
        <v>696</v>
      </c>
      <c r="M205" s="14" t="s">
        <v>626</v>
      </c>
      <c r="N205" s="6" t="s">
        <v>657</v>
      </c>
      <c r="O205" s="6">
        <v>0</v>
      </c>
      <c r="P205" s="6" t="s">
        <v>861</v>
      </c>
      <c r="Q205" s="35">
        <v>1</v>
      </c>
      <c r="R205" s="35">
        <v>0</v>
      </c>
      <c r="S205" s="35">
        <v>0</v>
      </c>
      <c r="T205" s="35">
        <v>1</v>
      </c>
      <c r="U205" s="35">
        <v>0</v>
      </c>
      <c r="V205" s="35">
        <v>0</v>
      </c>
      <c r="W205" s="35">
        <v>0</v>
      </c>
      <c r="X205" s="6" t="s">
        <v>801</v>
      </c>
      <c r="Y205" s="6">
        <v>1</v>
      </c>
      <c r="Z205" s="6">
        <v>0</v>
      </c>
      <c r="AA205" s="6">
        <v>0</v>
      </c>
      <c r="AB205" s="6">
        <v>1</v>
      </c>
      <c r="AC205" s="6">
        <v>0</v>
      </c>
      <c r="AD205" s="14" t="s">
        <v>43</v>
      </c>
      <c r="AE205" s="13" t="s">
        <v>432</v>
      </c>
      <c r="AF205" s="13" t="s">
        <v>23</v>
      </c>
      <c r="AG205" s="8" t="s">
        <v>1357</v>
      </c>
      <c r="AH205" s="11">
        <v>40230</v>
      </c>
      <c r="AI205" s="10">
        <v>510</v>
      </c>
      <c r="AJ205" s="12">
        <v>120</v>
      </c>
      <c r="AK205" s="12">
        <f t="shared" si="14"/>
        <v>23.52941176470588</v>
      </c>
      <c r="AL205" s="12" t="str">
        <f t="shared" si="17"/>
        <v>10% a 25%</v>
      </c>
      <c r="AM205" s="6" t="s">
        <v>737</v>
      </c>
      <c r="AN205" s="6" t="s">
        <v>1454</v>
      </c>
      <c r="AO205" s="6" t="s">
        <v>699</v>
      </c>
      <c r="AP205" s="6">
        <v>0</v>
      </c>
      <c r="AQ205" s="6" t="s">
        <v>667</v>
      </c>
      <c r="AR205" s="6" t="s">
        <v>1400</v>
      </c>
      <c r="AS205" s="6">
        <v>0</v>
      </c>
      <c r="AT205" s="6">
        <v>0</v>
      </c>
      <c r="AU205" s="6">
        <v>0</v>
      </c>
      <c r="AV205" s="6">
        <v>0</v>
      </c>
      <c r="AW205" s="6" t="s">
        <v>1100</v>
      </c>
      <c r="AX205" s="31">
        <v>1</v>
      </c>
      <c r="AY205" s="31">
        <v>0</v>
      </c>
      <c r="AZ205" s="31">
        <v>0</v>
      </c>
      <c r="BA205" s="12">
        <f t="shared" si="15"/>
        <v>12.166666666666666</v>
      </c>
      <c r="BB205" s="31">
        <v>5</v>
      </c>
      <c r="BC205" s="31">
        <v>0</v>
      </c>
      <c r="BD205" s="31">
        <v>0</v>
      </c>
      <c r="BE205" s="31">
        <v>0</v>
      </c>
      <c r="BF205" s="12">
        <f t="shared" si="16"/>
        <v>0</v>
      </c>
      <c r="BG205" s="6" t="s">
        <v>636</v>
      </c>
      <c r="BH205" s="6" t="s">
        <v>1394</v>
      </c>
      <c r="BI205" s="6">
        <v>1</v>
      </c>
      <c r="BJ205" s="6" t="s">
        <v>609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</row>
    <row r="206" spans="1:70" ht="52.8" customHeight="1" x14ac:dyDescent="0.3">
      <c r="A206" s="6">
        <v>1511347</v>
      </c>
      <c r="B206" s="6" t="s">
        <v>26</v>
      </c>
      <c r="C206" s="15" t="s">
        <v>433</v>
      </c>
      <c r="D206" s="6" t="s">
        <v>28</v>
      </c>
      <c r="E206" s="6" t="s">
        <v>15</v>
      </c>
      <c r="F206" s="7">
        <v>42044</v>
      </c>
      <c r="G206" s="7">
        <v>42157</v>
      </c>
      <c r="H206" s="8" t="s">
        <v>111</v>
      </c>
      <c r="I206" s="3" t="s">
        <v>17</v>
      </c>
      <c r="J206" s="3" t="s">
        <v>18</v>
      </c>
      <c r="K206" t="s">
        <v>19</v>
      </c>
      <c r="L206" s="6" t="s">
        <v>696</v>
      </c>
      <c r="M206" s="14" t="s">
        <v>724</v>
      </c>
      <c r="N206" s="6" t="s">
        <v>657</v>
      </c>
      <c r="O206" s="6">
        <v>0</v>
      </c>
      <c r="P206" s="6" t="s">
        <v>707</v>
      </c>
      <c r="Q206" s="35">
        <v>0</v>
      </c>
      <c r="R206" s="35">
        <v>1</v>
      </c>
      <c r="S206" s="35">
        <v>0</v>
      </c>
      <c r="T206" s="35">
        <v>0</v>
      </c>
      <c r="U206" s="35">
        <v>0</v>
      </c>
      <c r="V206" s="35">
        <v>0</v>
      </c>
      <c r="W206" s="35">
        <v>0</v>
      </c>
      <c r="X206" s="6" t="s">
        <v>801</v>
      </c>
      <c r="Y206" s="6">
        <v>1</v>
      </c>
      <c r="Z206" s="6">
        <v>0</v>
      </c>
      <c r="AA206" s="6">
        <v>0</v>
      </c>
      <c r="AB206" s="6">
        <v>1</v>
      </c>
      <c r="AC206" s="6">
        <v>0</v>
      </c>
      <c r="AD206" s="14" t="s">
        <v>21</v>
      </c>
      <c r="AE206" s="13" t="s">
        <v>434</v>
      </c>
      <c r="AF206" s="13" t="s">
        <v>32</v>
      </c>
      <c r="AG206" s="8" t="s">
        <v>1357</v>
      </c>
      <c r="AH206" s="11">
        <v>40938</v>
      </c>
      <c r="AI206" s="10">
        <v>622</v>
      </c>
      <c r="AJ206" s="12">
        <v>120</v>
      </c>
      <c r="AK206" s="12">
        <f t="shared" si="14"/>
        <v>19.292604501607716</v>
      </c>
      <c r="AL206" s="12" t="str">
        <f t="shared" si="17"/>
        <v>10% a 25%</v>
      </c>
      <c r="AM206" s="6" t="s">
        <v>663</v>
      </c>
      <c r="AN206" s="6" t="s">
        <v>616</v>
      </c>
      <c r="AO206" s="6" t="s">
        <v>701</v>
      </c>
      <c r="AP206" s="6">
        <v>1</v>
      </c>
      <c r="AQ206" s="6" t="s">
        <v>658</v>
      </c>
      <c r="AR206" s="6" t="s">
        <v>1399</v>
      </c>
      <c r="AS206" s="6">
        <v>0</v>
      </c>
      <c r="AT206" s="6">
        <v>0</v>
      </c>
      <c r="AU206" s="6">
        <v>0</v>
      </c>
      <c r="AV206" s="6">
        <v>0</v>
      </c>
      <c r="AW206" s="6" t="s">
        <v>1101</v>
      </c>
      <c r="AX206" s="31">
        <v>0</v>
      </c>
      <c r="AY206" s="31">
        <v>4</v>
      </c>
      <c r="AZ206" s="31">
        <v>0</v>
      </c>
      <c r="BA206" s="12">
        <f t="shared" si="15"/>
        <v>4</v>
      </c>
      <c r="BB206" s="31">
        <v>5</v>
      </c>
      <c r="BC206" s="31">
        <v>0</v>
      </c>
      <c r="BD206" s="31">
        <v>0</v>
      </c>
      <c r="BE206" s="31">
        <v>0</v>
      </c>
      <c r="BF206" s="12">
        <f t="shared" si="16"/>
        <v>0</v>
      </c>
      <c r="BG206" s="6" t="s">
        <v>615</v>
      </c>
      <c r="BH206" s="6" t="s">
        <v>1393</v>
      </c>
      <c r="BI206" s="6">
        <v>0</v>
      </c>
      <c r="BJ206" s="6" t="s">
        <v>609</v>
      </c>
      <c r="BK206" s="6">
        <v>0</v>
      </c>
      <c r="BL206" s="6">
        <v>1</v>
      </c>
      <c r="BM206" s="6">
        <v>1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</row>
    <row r="207" spans="1:70" ht="52.8" customHeight="1" x14ac:dyDescent="0.3">
      <c r="A207" s="6">
        <v>346238</v>
      </c>
      <c r="B207" s="6" t="s">
        <v>24</v>
      </c>
      <c r="C207" s="15" t="s">
        <v>435</v>
      </c>
      <c r="D207" s="6" t="s">
        <v>41</v>
      </c>
      <c r="E207" s="6" t="s">
        <v>15</v>
      </c>
      <c r="F207" s="7">
        <v>42360</v>
      </c>
      <c r="G207" s="7">
        <v>42479</v>
      </c>
      <c r="H207" s="8" t="s">
        <v>42</v>
      </c>
      <c r="I207" s="3" t="s">
        <v>17</v>
      </c>
      <c r="J207" s="3" t="s">
        <v>18</v>
      </c>
      <c r="K207" t="s">
        <v>19</v>
      </c>
      <c r="L207" s="6" t="s">
        <v>696</v>
      </c>
      <c r="M207" s="14" t="s">
        <v>35</v>
      </c>
      <c r="N207" s="6" t="s">
        <v>657</v>
      </c>
      <c r="O207" s="6">
        <v>0</v>
      </c>
      <c r="P207" s="6" t="s">
        <v>1103</v>
      </c>
      <c r="Q207" s="35">
        <v>1</v>
      </c>
      <c r="R207" s="35">
        <v>1</v>
      </c>
      <c r="S207" s="35">
        <v>0</v>
      </c>
      <c r="T207" s="35">
        <v>0</v>
      </c>
      <c r="U207" s="35">
        <v>0</v>
      </c>
      <c r="V207" s="35">
        <v>0</v>
      </c>
      <c r="W207" s="35">
        <v>0</v>
      </c>
      <c r="X207" s="6" t="s">
        <v>971</v>
      </c>
      <c r="Y207" s="6">
        <v>1</v>
      </c>
      <c r="Z207" s="6">
        <v>0</v>
      </c>
      <c r="AA207" s="6">
        <v>0</v>
      </c>
      <c r="AB207" s="6">
        <v>0</v>
      </c>
      <c r="AC207" s="6">
        <v>1</v>
      </c>
      <c r="AD207" s="14" t="s">
        <v>43</v>
      </c>
      <c r="AE207" s="13" t="s">
        <v>436</v>
      </c>
      <c r="AF207" s="13" t="s">
        <v>45</v>
      </c>
      <c r="AG207" s="8" t="s">
        <v>1357</v>
      </c>
      <c r="AH207" s="11">
        <v>40857</v>
      </c>
      <c r="AI207" s="10">
        <v>545</v>
      </c>
      <c r="AJ207" s="12">
        <v>100</v>
      </c>
      <c r="AK207" s="12">
        <f t="shared" si="14"/>
        <v>18.348623853211009</v>
      </c>
      <c r="AL207" s="12" t="str">
        <f t="shared" si="17"/>
        <v>10% a 25%</v>
      </c>
      <c r="AM207" s="6" t="s">
        <v>1104</v>
      </c>
      <c r="AN207" s="6" t="s">
        <v>1455</v>
      </c>
      <c r="AO207" s="6" t="s">
        <v>699</v>
      </c>
      <c r="AP207" s="6">
        <v>0</v>
      </c>
      <c r="AQ207" s="6" t="s">
        <v>613</v>
      </c>
      <c r="AR207" s="6" t="s">
        <v>1399</v>
      </c>
      <c r="AS207" s="6">
        <v>1</v>
      </c>
      <c r="AT207" s="6">
        <v>0</v>
      </c>
      <c r="AU207" s="6">
        <v>0</v>
      </c>
      <c r="AV207" s="6">
        <v>0</v>
      </c>
      <c r="AW207" s="6" t="s">
        <v>1102</v>
      </c>
      <c r="AX207" s="31">
        <v>1</v>
      </c>
      <c r="AY207" s="31">
        <v>4</v>
      </c>
      <c r="AZ207" s="31">
        <v>0</v>
      </c>
      <c r="BA207" s="12">
        <f t="shared" si="15"/>
        <v>16.166666666666668</v>
      </c>
      <c r="BB207" s="31">
        <v>14</v>
      </c>
      <c r="BC207" s="31">
        <v>0</v>
      </c>
      <c r="BD207" s="31">
        <v>0</v>
      </c>
      <c r="BE207" s="31">
        <v>0</v>
      </c>
      <c r="BF207" s="12">
        <f t="shared" si="16"/>
        <v>0</v>
      </c>
      <c r="BG207" s="6" t="s">
        <v>615</v>
      </c>
      <c r="BH207" s="6" t="s">
        <v>1393</v>
      </c>
      <c r="BI207" s="6">
        <v>0</v>
      </c>
      <c r="BJ207" s="6" t="s">
        <v>609</v>
      </c>
      <c r="BK207" s="6">
        <v>0</v>
      </c>
      <c r="BL207" s="6">
        <v>1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</row>
    <row r="208" spans="1:70" ht="52.8" customHeight="1" x14ac:dyDescent="0.3">
      <c r="A208" s="6">
        <v>698968</v>
      </c>
      <c r="B208" s="6" t="s">
        <v>46</v>
      </c>
      <c r="C208" s="15" t="s">
        <v>437</v>
      </c>
      <c r="D208" s="6" t="s">
        <v>14</v>
      </c>
      <c r="E208" s="6" t="s">
        <v>15</v>
      </c>
      <c r="F208" s="7">
        <v>42133</v>
      </c>
      <c r="G208" s="7">
        <v>42312</v>
      </c>
      <c r="H208" s="8" t="s">
        <v>16</v>
      </c>
      <c r="I208" s="3" t="s">
        <v>48</v>
      </c>
      <c r="J208" s="3" t="s">
        <v>18</v>
      </c>
      <c r="K208" t="s">
        <v>19</v>
      </c>
      <c r="L208" s="6" t="s">
        <v>695</v>
      </c>
      <c r="M208" s="14" t="s">
        <v>724</v>
      </c>
      <c r="N208" s="6" t="s">
        <v>657</v>
      </c>
      <c r="O208" s="6">
        <v>0</v>
      </c>
      <c r="P208" s="6" t="s">
        <v>935</v>
      </c>
      <c r="Q208" s="35">
        <v>0</v>
      </c>
      <c r="R208" s="35">
        <v>0</v>
      </c>
      <c r="S208" s="35">
        <v>0</v>
      </c>
      <c r="T208" s="35">
        <v>1</v>
      </c>
      <c r="U208" s="35">
        <v>0</v>
      </c>
      <c r="V208" s="35">
        <v>0</v>
      </c>
      <c r="W208" s="35">
        <v>0</v>
      </c>
      <c r="X208" s="6" t="s">
        <v>801</v>
      </c>
      <c r="Y208" s="6">
        <v>1</v>
      </c>
      <c r="Z208" s="6">
        <v>0</v>
      </c>
      <c r="AA208" s="6">
        <v>0</v>
      </c>
      <c r="AB208" s="6">
        <v>1</v>
      </c>
      <c r="AC208" s="6">
        <v>0</v>
      </c>
      <c r="AD208" s="14" t="s">
        <v>21</v>
      </c>
      <c r="AE208" s="13" t="s">
        <v>438</v>
      </c>
      <c r="AF208" s="13" t="s">
        <v>23</v>
      </c>
      <c r="AG208" s="8" t="s">
        <v>1357</v>
      </c>
      <c r="AH208" s="11">
        <v>40352</v>
      </c>
      <c r="AI208" s="10">
        <v>510</v>
      </c>
      <c r="AJ208" s="12">
        <v>31</v>
      </c>
      <c r="AK208" s="12">
        <f t="shared" si="14"/>
        <v>6.0784313725490193</v>
      </c>
      <c r="AL208" s="12" t="str">
        <f t="shared" si="17"/>
        <v>Até 10%</v>
      </c>
      <c r="AM208" s="6" t="s">
        <v>737</v>
      </c>
      <c r="AN208" s="6" t="s">
        <v>1454</v>
      </c>
      <c r="AO208" s="6" t="s">
        <v>701</v>
      </c>
      <c r="AP208" s="6">
        <v>1</v>
      </c>
      <c r="AQ208" s="6" t="s">
        <v>667</v>
      </c>
      <c r="AR208" s="6" t="s">
        <v>1400</v>
      </c>
      <c r="AS208" s="6">
        <v>0</v>
      </c>
      <c r="AT208" s="6">
        <v>0</v>
      </c>
      <c r="AU208" s="6">
        <v>0</v>
      </c>
      <c r="AV208" s="6">
        <v>0</v>
      </c>
      <c r="AW208" s="6" t="s">
        <v>1105</v>
      </c>
      <c r="AX208" s="31">
        <v>0</v>
      </c>
      <c r="AY208" s="31">
        <v>0</v>
      </c>
      <c r="AZ208" s="31">
        <v>0</v>
      </c>
      <c r="BA208" s="12">
        <f t="shared" si="15"/>
        <v>0</v>
      </c>
      <c r="BB208" s="31">
        <v>0</v>
      </c>
      <c r="BC208" s="31">
        <v>0</v>
      </c>
      <c r="BD208" s="31">
        <v>0</v>
      </c>
      <c r="BE208" s="31">
        <v>0</v>
      </c>
      <c r="BF208" s="12">
        <f t="shared" si="16"/>
        <v>0</v>
      </c>
      <c r="BG208" s="6" t="s">
        <v>1106</v>
      </c>
      <c r="BH208" s="6" t="s">
        <v>1395</v>
      </c>
      <c r="BI208" s="6">
        <v>0</v>
      </c>
      <c r="BJ208" s="6" t="s">
        <v>609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</row>
    <row r="209" spans="1:70" ht="52.8" customHeight="1" x14ac:dyDescent="0.3">
      <c r="A209" s="6">
        <v>309028</v>
      </c>
      <c r="B209" s="6" t="s">
        <v>13</v>
      </c>
      <c r="C209" s="15" t="s">
        <v>1107</v>
      </c>
      <c r="D209" s="6" t="s">
        <v>14</v>
      </c>
      <c r="E209" s="6" t="s">
        <v>15</v>
      </c>
      <c r="F209" s="7">
        <v>41950</v>
      </c>
      <c r="G209" s="7">
        <v>42145</v>
      </c>
      <c r="H209" s="8" t="s">
        <v>38</v>
      </c>
      <c r="I209" s="3" t="s">
        <v>17</v>
      </c>
      <c r="J209" s="3" t="s">
        <v>18</v>
      </c>
      <c r="K209" t="s">
        <v>19</v>
      </c>
      <c r="L209" s="6" t="s">
        <v>696</v>
      </c>
      <c r="M209" s="14" t="s">
        <v>626</v>
      </c>
      <c r="N209" s="6" t="s">
        <v>657</v>
      </c>
      <c r="O209" s="6">
        <v>0</v>
      </c>
      <c r="P209" s="6" t="s">
        <v>782</v>
      </c>
      <c r="Q209" s="35">
        <v>0</v>
      </c>
      <c r="R209" s="35">
        <v>0</v>
      </c>
      <c r="S209" s="35">
        <v>1</v>
      </c>
      <c r="T209" s="35">
        <v>0</v>
      </c>
      <c r="U209" s="35">
        <v>0</v>
      </c>
      <c r="V209" s="35">
        <v>0</v>
      </c>
      <c r="W209" s="35">
        <v>0</v>
      </c>
      <c r="X209" s="6" t="s">
        <v>801</v>
      </c>
      <c r="Y209" s="6">
        <v>1</v>
      </c>
      <c r="Z209" s="6">
        <v>0</v>
      </c>
      <c r="AA209" s="6">
        <v>0</v>
      </c>
      <c r="AB209" s="6">
        <v>1</v>
      </c>
      <c r="AC209" s="6">
        <v>0</v>
      </c>
      <c r="AD209" s="14" t="s">
        <v>43</v>
      </c>
      <c r="AE209" s="13" t="s">
        <v>439</v>
      </c>
      <c r="AF209" s="13" t="s">
        <v>23</v>
      </c>
      <c r="AG209" s="8" t="s">
        <v>1357</v>
      </c>
      <c r="AH209" s="11">
        <v>41584</v>
      </c>
      <c r="AI209" s="10">
        <v>678</v>
      </c>
      <c r="AJ209" s="12">
        <v>41</v>
      </c>
      <c r="AK209" s="12">
        <f t="shared" si="14"/>
        <v>6.0471976401179939</v>
      </c>
      <c r="AL209" s="12" t="str">
        <f t="shared" si="17"/>
        <v>Até 10%</v>
      </c>
      <c r="AM209" s="6" t="s">
        <v>1108</v>
      </c>
      <c r="AN209" s="6" t="s">
        <v>616</v>
      </c>
      <c r="AO209" s="6" t="s">
        <v>699</v>
      </c>
      <c r="AP209" s="6">
        <v>0</v>
      </c>
      <c r="AQ209" s="6" t="s">
        <v>658</v>
      </c>
      <c r="AR209" s="6" t="s">
        <v>1399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31">
        <v>0</v>
      </c>
      <c r="AY209" s="31">
        <v>0</v>
      </c>
      <c r="AZ209" s="31">
        <v>0</v>
      </c>
      <c r="BA209" s="12">
        <f t="shared" si="15"/>
        <v>0</v>
      </c>
      <c r="BB209" s="31">
        <v>0</v>
      </c>
      <c r="BC209" s="31">
        <v>0</v>
      </c>
      <c r="BD209" s="31">
        <v>0</v>
      </c>
      <c r="BE209" s="31">
        <v>0</v>
      </c>
      <c r="BF209" s="12">
        <f t="shared" si="16"/>
        <v>0</v>
      </c>
      <c r="BG209" s="6">
        <v>0</v>
      </c>
      <c r="BH209" s="6">
        <v>0</v>
      </c>
      <c r="BI209" s="6">
        <v>0</v>
      </c>
      <c r="BJ209" s="6" t="s">
        <v>620</v>
      </c>
      <c r="BK209" s="6">
        <v>0</v>
      </c>
      <c r="BL209" s="6">
        <v>0</v>
      </c>
      <c r="BM209" s="6">
        <v>0</v>
      </c>
      <c r="BN209" s="6">
        <v>1</v>
      </c>
      <c r="BO209" s="6" t="s">
        <v>1034</v>
      </c>
      <c r="BP209" s="6" t="s">
        <v>1459</v>
      </c>
      <c r="BQ209" s="6" t="s">
        <v>1460</v>
      </c>
      <c r="BR209" s="6" t="s">
        <v>1460</v>
      </c>
    </row>
    <row r="210" spans="1:70" ht="52.8" customHeight="1" x14ac:dyDescent="0.3">
      <c r="A210" s="6">
        <v>589064</v>
      </c>
      <c r="B210" s="6" t="s">
        <v>13</v>
      </c>
      <c r="C210" s="15" t="s">
        <v>1109</v>
      </c>
      <c r="D210" s="6" t="s">
        <v>64</v>
      </c>
      <c r="E210" s="6" t="s">
        <v>15</v>
      </c>
      <c r="F210" s="7">
        <v>41913</v>
      </c>
      <c r="G210" s="7">
        <v>42584</v>
      </c>
      <c r="H210" s="8" t="s">
        <v>34</v>
      </c>
      <c r="I210" s="3" t="s">
        <v>48</v>
      </c>
      <c r="J210" s="3" t="s">
        <v>18</v>
      </c>
      <c r="K210" t="s">
        <v>19</v>
      </c>
      <c r="L210" s="6" t="s">
        <v>696</v>
      </c>
      <c r="M210" s="14" t="s">
        <v>626</v>
      </c>
      <c r="N210" s="6" t="s">
        <v>657</v>
      </c>
      <c r="O210" s="6">
        <v>0</v>
      </c>
      <c r="P210" s="6" t="s">
        <v>935</v>
      </c>
      <c r="Q210" s="35">
        <v>0</v>
      </c>
      <c r="R210" s="35">
        <v>0</v>
      </c>
      <c r="S210" s="35">
        <v>0</v>
      </c>
      <c r="T210" s="35">
        <v>1</v>
      </c>
      <c r="U210" s="35">
        <v>0</v>
      </c>
      <c r="V210" s="35">
        <v>0</v>
      </c>
      <c r="W210" s="35">
        <v>0</v>
      </c>
      <c r="X210" s="6" t="s">
        <v>801</v>
      </c>
      <c r="Y210" s="6">
        <v>1</v>
      </c>
      <c r="Z210" s="6">
        <v>0</v>
      </c>
      <c r="AA210" s="6">
        <v>0</v>
      </c>
      <c r="AB210" s="6">
        <v>1</v>
      </c>
      <c r="AC210" s="6">
        <v>0</v>
      </c>
      <c r="AD210" s="14" t="s">
        <v>43</v>
      </c>
      <c r="AE210" s="13" t="s">
        <v>440</v>
      </c>
      <c r="AF210" s="13" t="s">
        <v>194</v>
      </c>
      <c r="AG210" s="8" t="s">
        <v>194</v>
      </c>
      <c r="AH210" s="11">
        <v>40671</v>
      </c>
      <c r="AI210" s="10">
        <v>545</v>
      </c>
      <c r="AJ210" s="12">
        <v>100</v>
      </c>
      <c r="AK210" s="12">
        <f t="shared" si="14"/>
        <v>18.348623853211009</v>
      </c>
      <c r="AL210" s="12" t="str">
        <f t="shared" si="17"/>
        <v>10% a 25%</v>
      </c>
      <c r="AM210" s="6" t="s">
        <v>737</v>
      </c>
      <c r="AN210" s="6" t="s">
        <v>1454</v>
      </c>
      <c r="AO210" s="6" t="s">
        <v>699</v>
      </c>
      <c r="AP210" s="6">
        <v>0</v>
      </c>
      <c r="AQ210" s="6" t="s">
        <v>1450</v>
      </c>
      <c r="AR210" s="6" t="s">
        <v>1403</v>
      </c>
      <c r="AS210" s="6">
        <v>1</v>
      </c>
      <c r="AT210" s="6">
        <v>0</v>
      </c>
      <c r="AU210" s="6">
        <v>0</v>
      </c>
      <c r="AV210" s="6">
        <v>0</v>
      </c>
      <c r="AW210" s="6" t="s">
        <v>862</v>
      </c>
      <c r="AX210" s="31">
        <v>0</v>
      </c>
      <c r="AY210" s="31">
        <v>8</v>
      </c>
      <c r="AZ210" s="31">
        <v>0</v>
      </c>
      <c r="BA210" s="12">
        <f t="shared" si="15"/>
        <v>8</v>
      </c>
      <c r="BB210" s="31">
        <v>3</v>
      </c>
      <c r="BC210" s="31">
        <v>0</v>
      </c>
      <c r="BD210" s="31">
        <v>0</v>
      </c>
      <c r="BE210" s="31">
        <v>0</v>
      </c>
      <c r="BF210" s="12">
        <f t="shared" si="16"/>
        <v>0</v>
      </c>
      <c r="BG210" s="6" t="s">
        <v>636</v>
      </c>
      <c r="BH210" s="6" t="s">
        <v>1394</v>
      </c>
      <c r="BI210" s="6">
        <v>1</v>
      </c>
      <c r="BJ210" s="6" t="s">
        <v>609</v>
      </c>
      <c r="BK210" s="6">
        <v>0</v>
      </c>
      <c r="BL210" s="6">
        <v>0</v>
      </c>
      <c r="BM210" s="6">
        <v>0</v>
      </c>
      <c r="BN210" s="6">
        <v>1</v>
      </c>
      <c r="BO210" s="6">
        <v>0</v>
      </c>
      <c r="BP210" s="6">
        <v>0</v>
      </c>
      <c r="BQ210" s="6">
        <v>0</v>
      </c>
      <c r="BR210" s="6">
        <v>0</v>
      </c>
    </row>
    <row r="211" spans="1:70" ht="52.8" customHeight="1" x14ac:dyDescent="0.3">
      <c r="A211" s="6">
        <v>1503900</v>
      </c>
      <c r="B211" s="6" t="s">
        <v>13</v>
      </c>
      <c r="C211" s="15" t="s">
        <v>1302</v>
      </c>
      <c r="D211" s="6" t="s">
        <v>64</v>
      </c>
      <c r="E211" s="6" t="s">
        <v>15</v>
      </c>
      <c r="F211" s="7">
        <v>41999</v>
      </c>
      <c r="G211" s="7">
        <v>42171</v>
      </c>
      <c r="H211" s="8" t="s">
        <v>111</v>
      </c>
      <c r="I211" s="3" t="s">
        <v>48</v>
      </c>
      <c r="J211" s="3" t="s">
        <v>18</v>
      </c>
      <c r="K211" t="s">
        <v>19</v>
      </c>
      <c r="L211" s="6" t="s">
        <v>696</v>
      </c>
      <c r="M211" s="14" t="s">
        <v>626</v>
      </c>
      <c r="N211" s="6" t="s">
        <v>657</v>
      </c>
      <c r="O211" s="6">
        <v>0</v>
      </c>
      <c r="P211" s="6" t="s">
        <v>763</v>
      </c>
      <c r="Q211" s="35">
        <v>0</v>
      </c>
      <c r="R211" s="35">
        <v>0</v>
      </c>
      <c r="S211" s="35">
        <v>1</v>
      </c>
      <c r="T211" s="35">
        <v>0</v>
      </c>
      <c r="U211" s="35">
        <v>0</v>
      </c>
      <c r="V211" s="35">
        <v>0</v>
      </c>
      <c r="W211" s="35">
        <v>0</v>
      </c>
      <c r="X211" s="6" t="s">
        <v>801</v>
      </c>
      <c r="Y211" s="6">
        <v>1</v>
      </c>
      <c r="Z211" s="6">
        <v>0</v>
      </c>
      <c r="AA211" s="6">
        <v>0</v>
      </c>
      <c r="AB211" s="6">
        <v>1</v>
      </c>
      <c r="AC211" s="6">
        <v>0</v>
      </c>
      <c r="AD211" s="14" t="s">
        <v>43</v>
      </c>
      <c r="AE211" s="13" t="s">
        <v>211</v>
      </c>
      <c r="AF211" s="13" t="s">
        <v>719</v>
      </c>
      <c r="AG211" s="8" t="s">
        <v>194</v>
      </c>
      <c r="AH211" s="11">
        <v>41158</v>
      </c>
      <c r="AI211" s="10">
        <v>622</v>
      </c>
      <c r="AJ211" s="12">
        <v>60</v>
      </c>
      <c r="AK211" s="12">
        <f t="shared" si="14"/>
        <v>9.6463022508038581</v>
      </c>
      <c r="AL211" s="12" t="str">
        <f t="shared" si="17"/>
        <v>Até 10%</v>
      </c>
      <c r="AM211" s="6" t="s">
        <v>1113</v>
      </c>
      <c r="AN211" s="6" t="s">
        <v>1454</v>
      </c>
      <c r="AO211" s="6" t="s">
        <v>699</v>
      </c>
      <c r="AP211" s="6">
        <v>0</v>
      </c>
      <c r="AQ211" s="6" t="s">
        <v>1110</v>
      </c>
      <c r="AR211" s="6" t="s">
        <v>1400</v>
      </c>
      <c r="AS211" s="6">
        <v>1</v>
      </c>
      <c r="AT211" s="6">
        <v>0</v>
      </c>
      <c r="AU211" s="6">
        <v>0</v>
      </c>
      <c r="AV211" s="6">
        <v>0</v>
      </c>
      <c r="AW211" s="6" t="s">
        <v>1111</v>
      </c>
      <c r="AX211" s="31">
        <v>3</v>
      </c>
      <c r="AY211" s="31">
        <v>11</v>
      </c>
      <c r="AZ211" s="31">
        <v>0</v>
      </c>
      <c r="BA211" s="12">
        <f t="shared" si="15"/>
        <v>47.5</v>
      </c>
      <c r="BB211" s="31">
        <v>29</v>
      </c>
      <c r="BC211" s="31">
        <v>0</v>
      </c>
      <c r="BD211" s="31">
        <v>0</v>
      </c>
      <c r="BE211" s="31">
        <v>0</v>
      </c>
      <c r="BF211" s="12">
        <f t="shared" si="16"/>
        <v>0</v>
      </c>
      <c r="BG211" s="6" t="s">
        <v>615</v>
      </c>
      <c r="BH211" s="6" t="s">
        <v>1393</v>
      </c>
      <c r="BI211" s="6">
        <v>0</v>
      </c>
      <c r="BJ211" s="6" t="s">
        <v>609</v>
      </c>
      <c r="BK211" s="6">
        <v>0</v>
      </c>
      <c r="BL211" s="6">
        <v>1</v>
      </c>
      <c r="BM211" s="6">
        <v>1</v>
      </c>
      <c r="BN211" s="6">
        <v>0</v>
      </c>
      <c r="BO211" s="6" t="s">
        <v>1321</v>
      </c>
      <c r="BP211" s="6" t="s">
        <v>1461</v>
      </c>
      <c r="BQ211" s="6" t="s">
        <v>1459</v>
      </c>
      <c r="BR211" s="6" t="s">
        <v>1461</v>
      </c>
    </row>
    <row r="212" spans="1:70" ht="52.8" customHeight="1" x14ac:dyDescent="0.3">
      <c r="A212" s="6">
        <v>341944</v>
      </c>
      <c r="B212" s="6" t="s">
        <v>24</v>
      </c>
      <c r="C212" s="15" t="s">
        <v>441</v>
      </c>
      <c r="D212" s="6" t="s">
        <v>106</v>
      </c>
      <c r="E212" s="6" t="s">
        <v>15</v>
      </c>
      <c r="F212" s="7">
        <v>42320</v>
      </c>
      <c r="G212" s="7">
        <v>42710</v>
      </c>
      <c r="H212" s="8" t="s">
        <v>42</v>
      </c>
      <c r="I212" s="3" t="s">
        <v>17</v>
      </c>
      <c r="J212" s="3" t="s">
        <v>18</v>
      </c>
      <c r="K212" t="s">
        <v>19</v>
      </c>
      <c r="L212" s="6" t="s">
        <v>696</v>
      </c>
      <c r="M212" s="14" t="s">
        <v>35</v>
      </c>
      <c r="N212" s="6" t="s">
        <v>657</v>
      </c>
      <c r="O212" s="6">
        <v>0</v>
      </c>
      <c r="P212" s="6" t="s">
        <v>1114</v>
      </c>
      <c r="Q212" s="35">
        <v>1</v>
      </c>
      <c r="R212" s="35">
        <v>0</v>
      </c>
      <c r="S212" s="35">
        <v>1</v>
      </c>
      <c r="T212" s="35">
        <v>0</v>
      </c>
      <c r="U212" s="35">
        <v>0</v>
      </c>
      <c r="V212" s="35">
        <v>0</v>
      </c>
      <c r="W212" s="35">
        <v>0</v>
      </c>
      <c r="X212" s="6" t="s">
        <v>923</v>
      </c>
      <c r="Y212" s="6">
        <v>1</v>
      </c>
      <c r="Z212" s="6">
        <v>1</v>
      </c>
      <c r="AA212" s="6">
        <v>1</v>
      </c>
      <c r="AB212" s="6">
        <v>0</v>
      </c>
      <c r="AC212" s="6">
        <v>0</v>
      </c>
      <c r="AD212" s="14" t="s">
        <v>43</v>
      </c>
      <c r="AE212" s="13" t="s">
        <v>442</v>
      </c>
      <c r="AF212" s="13" t="s">
        <v>108</v>
      </c>
      <c r="AG212" s="8" t="s">
        <v>1357</v>
      </c>
      <c r="AH212" s="11">
        <v>40200</v>
      </c>
      <c r="AI212" s="10">
        <v>510</v>
      </c>
      <c r="AJ212" s="12">
        <v>90</v>
      </c>
      <c r="AK212" s="12">
        <f t="shared" si="14"/>
        <v>17.647058823529413</v>
      </c>
      <c r="AL212" s="12" t="str">
        <f t="shared" si="17"/>
        <v>10% a 25%</v>
      </c>
      <c r="AM212" s="6" t="s">
        <v>1115</v>
      </c>
      <c r="AN212" s="6" t="s">
        <v>655</v>
      </c>
      <c r="AO212" s="6" t="s">
        <v>699</v>
      </c>
      <c r="AP212" s="6">
        <v>0</v>
      </c>
      <c r="AQ212" s="6" t="s">
        <v>658</v>
      </c>
      <c r="AR212" s="6" t="s">
        <v>1399</v>
      </c>
      <c r="AS212" s="6">
        <v>0</v>
      </c>
      <c r="AT212" s="6">
        <v>0</v>
      </c>
      <c r="AU212" s="6">
        <v>0</v>
      </c>
      <c r="AV212" s="6">
        <v>0</v>
      </c>
      <c r="AW212" s="6" t="s">
        <v>734</v>
      </c>
      <c r="AX212" s="31">
        <v>0</v>
      </c>
      <c r="AY212" s="31">
        <v>10</v>
      </c>
      <c r="AZ212" s="31">
        <v>0</v>
      </c>
      <c r="BA212" s="12">
        <f t="shared" si="15"/>
        <v>10</v>
      </c>
      <c r="BB212" s="31">
        <v>12</v>
      </c>
      <c r="BC212" s="31">
        <v>0</v>
      </c>
      <c r="BD212" s="31">
        <v>0</v>
      </c>
      <c r="BE212" s="31">
        <v>0</v>
      </c>
      <c r="BF212" s="12">
        <f t="shared" si="16"/>
        <v>0</v>
      </c>
      <c r="BG212" s="6" t="s">
        <v>853</v>
      </c>
      <c r="BH212" s="6" t="s">
        <v>1394</v>
      </c>
      <c r="BI212" s="6">
        <v>1</v>
      </c>
      <c r="BJ212" s="6" t="s">
        <v>609</v>
      </c>
      <c r="BK212" s="6">
        <v>1</v>
      </c>
      <c r="BL212" s="6">
        <v>1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</row>
    <row r="213" spans="1:70" ht="52.8" customHeight="1" x14ac:dyDescent="0.3">
      <c r="A213" s="6">
        <v>689382</v>
      </c>
      <c r="B213" s="6" t="s">
        <v>46</v>
      </c>
      <c r="C213" s="25" t="s">
        <v>1319</v>
      </c>
      <c r="D213" s="6" t="s">
        <v>41</v>
      </c>
      <c r="E213" s="6" t="s">
        <v>15</v>
      </c>
      <c r="F213" s="7">
        <v>42135</v>
      </c>
      <c r="G213" s="7">
        <v>42423</v>
      </c>
      <c r="H213" s="8" t="s">
        <v>94</v>
      </c>
      <c r="I213" s="3" t="s">
        <v>17</v>
      </c>
      <c r="J213" s="3" t="s">
        <v>18</v>
      </c>
      <c r="K213" t="s">
        <v>19</v>
      </c>
      <c r="L213" s="6" t="s">
        <v>695</v>
      </c>
      <c r="M213" s="14" t="s">
        <v>626</v>
      </c>
      <c r="N213" s="6" t="s">
        <v>657</v>
      </c>
      <c r="O213" s="6">
        <v>0</v>
      </c>
      <c r="P213" s="6" t="s">
        <v>735</v>
      </c>
      <c r="Q213" s="35">
        <v>1</v>
      </c>
      <c r="R213" s="35">
        <v>0</v>
      </c>
      <c r="S213" s="35">
        <v>0</v>
      </c>
      <c r="T213" s="35">
        <v>0</v>
      </c>
      <c r="U213" s="35">
        <v>0</v>
      </c>
      <c r="V213" s="35">
        <v>0</v>
      </c>
      <c r="W213" s="35">
        <v>0</v>
      </c>
      <c r="X213" s="6" t="s">
        <v>780</v>
      </c>
      <c r="Y213" s="6">
        <v>1</v>
      </c>
      <c r="Z213" s="6">
        <v>1</v>
      </c>
      <c r="AA213" s="6">
        <v>0</v>
      </c>
      <c r="AB213" s="6">
        <v>0</v>
      </c>
      <c r="AC213" s="6">
        <v>0</v>
      </c>
      <c r="AD213" s="14" t="s">
        <v>21</v>
      </c>
      <c r="AE213" s="13" t="s">
        <v>443</v>
      </c>
      <c r="AF213" s="13" t="s">
        <v>45</v>
      </c>
      <c r="AG213" s="8" t="s">
        <v>1357</v>
      </c>
      <c r="AH213" s="11">
        <v>41012</v>
      </c>
      <c r="AI213" s="10">
        <v>622</v>
      </c>
      <c r="AJ213" s="12">
        <v>200</v>
      </c>
      <c r="AK213" s="12">
        <f t="shared" si="14"/>
        <v>32.154340836012864</v>
      </c>
      <c r="AL213" s="12" t="str">
        <f t="shared" si="17"/>
        <v>25% a 50%</v>
      </c>
      <c r="AM213" s="6" t="s">
        <v>618</v>
      </c>
      <c r="AN213" s="6" t="s">
        <v>618</v>
      </c>
      <c r="AO213" s="6" t="s">
        <v>699</v>
      </c>
      <c r="AP213" s="6">
        <v>0</v>
      </c>
      <c r="AQ213" s="6" t="s">
        <v>613</v>
      </c>
      <c r="AR213" s="6" t="s">
        <v>1399</v>
      </c>
      <c r="AS213" s="6">
        <v>1</v>
      </c>
      <c r="AT213" s="6">
        <v>0</v>
      </c>
      <c r="AU213" s="6">
        <v>0</v>
      </c>
      <c r="AV213" s="6">
        <v>0</v>
      </c>
      <c r="AW213" s="6">
        <v>0</v>
      </c>
      <c r="AX213" s="31">
        <v>0</v>
      </c>
      <c r="AY213" s="31">
        <v>0</v>
      </c>
      <c r="AZ213" s="31">
        <v>0</v>
      </c>
      <c r="BA213" s="12">
        <f t="shared" si="15"/>
        <v>0</v>
      </c>
      <c r="BB213" s="31">
        <v>0</v>
      </c>
      <c r="BC213" s="31">
        <v>0</v>
      </c>
      <c r="BD213" s="31">
        <v>0</v>
      </c>
      <c r="BE213" s="31">
        <v>0</v>
      </c>
      <c r="BF213" s="12">
        <f t="shared" si="16"/>
        <v>0</v>
      </c>
      <c r="BG213" s="6">
        <v>0</v>
      </c>
      <c r="BH213" s="6">
        <v>0</v>
      </c>
      <c r="BI213" s="6">
        <v>0</v>
      </c>
      <c r="BJ213" s="23" t="s">
        <v>620</v>
      </c>
      <c r="BK213" s="23">
        <v>0</v>
      </c>
      <c r="BL213" s="23">
        <v>0</v>
      </c>
      <c r="BM213" s="23">
        <v>0</v>
      </c>
      <c r="BN213" s="23">
        <v>0</v>
      </c>
      <c r="BO213" s="6" t="s">
        <v>1320</v>
      </c>
      <c r="BP213" s="6" t="s">
        <v>1459</v>
      </c>
      <c r="BQ213" s="6" t="s">
        <v>1460</v>
      </c>
      <c r="BR213" s="6" t="s">
        <v>1460</v>
      </c>
    </row>
    <row r="214" spans="1:70" ht="52.8" customHeight="1" x14ac:dyDescent="0.3">
      <c r="A214" s="6">
        <v>603299</v>
      </c>
      <c r="B214" s="6" t="s">
        <v>13</v>
      </c>
      <c r="C214" s="15" t="s">
        <v>1116</v>
      </c>
      <c r="D214" s="6" t="s">
        <v>64</v>
      </c>
      <c r="E214" s="6" t="s">
        <v>15</v>
      </c>
      <c r="F214" s="7">
        <v>41940</v>
      </c>
      <c r="G214" s="7">
        <v>42185</v>
      </c>
      <c r="H214" s="8" t="s">
        <v>118</v>
      </c>
      <c r="I214" s="3" t="s">
        <v>48</v>
      </c>
      <c r="J214" s="3" t="s">
        <v>18</v>
      </c>
      <c r="K214" t="s">
        <v>19</v>
      </c>
      <c r="L214" s="6" t="s">
        <v>696</v>
      </c>
      <c r="M214" s="14" t="s">
        <v>626</v>
      </c>
      <c r="N214" s="6" t="s">
        <v>657</v>
      </c>
      <c r="O214" s="6">
        <v>0</v>
      </c>
      <c r="P214" s="6" t="s">
        <v>1038</v>
      </c>
      <c r="Q214" s="35">
        <v>0</v>
      </c>
      <c r="R214" s="35">
        <v>0</v>
      </c>
      <c r="S214" s="35">
        <v>1</v>
      </c>
      <c r="T214" s="35">
        <v>1</v>
      </c>
      <c r="U214" s="35">
        <v>0</v>
      </c>
      <c r="V214" s="35">
        <v>0</v>
      </c>
      <c r="W214" s="35">
        <v>0</v>
      </c>
      <c r="X214" s="6" t="s">
        <v>657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14" t="s">
        <v>43</v>
      </c>
      <c r="AE214" s="13" t="s">
        <v>444</v>
      </c>
      <c r="AF214" s="13" t="s">
        <v>194</v>
      </c>
      <c r="AG214" s="8" t="s">
        <v>194</v>
      </c>
      <c r="AH214" s="11">
        <v>40536</v>
      </c>
      <c r="AI214" s="10">
        <v>510</v>
      </c>
      <c r="AJ214" s="12">
        <v>80</v>
      </c>
      <c r="AK214" s="12">
        <f t="shared" si="14"/>
        <v>15.686274509803921</v>
      </c>
      <c r="AL214" s="12" t="str">
        <f t="shared" si="17"/>
        <v>10% a 25%</v>
      </c>
      <c r="AM214" s="6" t="s">
        <v>655</v>
      </c>
      <c r="AN214" s="6" t="s">
        <v>655</v>
      </c>
      <c r="AO214" s="6" t="s">
        <v>699</v>
      </c>
      <c r="AP214" s="6">
        <v>0</v>
      </c>
      <c r="AQ214" s="6" t="s">
        <v>897</v>
      </c>
      <c r="AR214" s="6" t="s">
        <v>1400</v>
      </c>
      <c r="AS214" s="6">
        <v>0</v>
      </c>
      <c r="AT214" s="6">
        <v>0</v>
      </c>
      <c r="AU214" s="6">
        <v>0</v>
      </c>
      <c r="AV214" s="6">
        <v>0</v>
      </c>
      <c r="AW214" s="6" t="s">
        <v>1117</v>
      </c>
      <c r="AX214" s="31">
        <v>1</v>
      </c>
      <c r="AY214" s="31">
        <v>6</v>
      </c>
      <c r="AZ214" s="31">
        <v>0</v>
      </c>
      <c r="BA214" s="12">
        <f t="shared" si="15"/>
        <v>18.166666666666668</v>
      </c>
      <c r="BB214" s="31">
        <v>10</v>
      </c>
      <c r="BC214" s="31">
        <v>0</v>
      </c>
      <c r="BD214" s="31">
        <v>0</v>
      </c>
      <c r="BE214" s="31">
        <v>0</v>
      </c>
      <c r="BF214" s="12">
        <f t="shared" si="16"/>
        <v>0</v>
      </c>
      <c r="BG214" s="6" t="s">
        <v>615</v>
      </c>
      <c r="BH214" s="6" t="s">
        <v>1393</v>
      </c>
      <c r="BI214" s="6">
        <v>0</v>
      </c>
      <c r="BJ214" s="6" t="s">
        <v>609</v>
      </c>
      <c r="BK214" s="6">
        <v>0</v>
      </c>
      <c r="BL214" s="6">
        <v>1</v>
      </c>
      <c r="BM214" s="6">
        <v>0</v>
      </c>
      <c r="BN214" s="6">
        <v>0</v>
      </c>
      <c r="BO214" s="6">
        <v>0</v>
      </c>
      <c r="BP214" s="6">
        <v>0</v>
      </c>
      <c r="BQ214" s="6">
        <v>0</v>
      </c>
      <c r="BR214" s="6">
        <v>0</v>
      </c>
    </row>
    <row r="215" spans="1:70" ht="52.8" customHeight="1" x14ac:dyDescent="0.3">
      <c r="A215" s="6">
        <v>576190</v>
      </c>
      <c r="B215" s="6" t="s">
        <v>46</v>
      </c>
      <c r="C215" s="15" t="s">
        <v>445</v>
      </c>
      <c r="D215" s="6" t="s">
        <v>55</v>
      </c>
      <c r="E215" s="6" t="s">
        <v>15</v>
      </c>
      <c r="F215" s="7">
        <v>41890</v>
      </c>
      <c r="G215" s="7">
        <v>42552</v>
      </c>
      <c r="H215" s="8" t="s">
        <v>42</v>
      </c>
      <c r="I215" s="3" t="s">
        <v>48</v>
      </c>
      <c r="J215" s="3" t="s">
        <v>18</v>
      </c>
      <c r="K215" t="s">
        <v>19</v>
      </c>
      <c r="L215" s="6" t="s">
        <v>696</v>
      </c>
      <c r="M215" s="14" t="s">
        <v>977</v>
      </c>
      <c r="N215" s="6" t="s">
        <v>703</v>
      </c>
      <c r="O215" s="6">
        <v>1</v>
      </c>
      <c r="P215" s="6" t="s">
        <v>1119</v>
      </c>
      <c r="Q215" s="35">
        <v>1</v>
      </c>
      <c r="R215" s="35">
        <v>0</v>
      </c>
      <c r="S215" s="35">
        <v>0</v>
      </c>
      <c r="T215" s="35">
        <v>0</v>
      </c>
      <c r="U215" s="35">
        <v>1</v>
      </c>
      <c r="V215" s="35">
        <v>0</v>
      </c>
      <c r="W215" s="35">
        <v>0</v>
      </c>
      <c r="X215" s="6" t="s">
        <v>657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14" t="s">
        <v>21</v>
      </c>
      <c r="AE215" s="13" t="s">
        <v>446</v>
      </c>
      <c r="AF215" s="13" t="s">
        <v>976</v>
      </c>
      <c r="AG215" s="8" t="s">
        <v>1357</v>
      </c>
      <c r="AH215" s="11">
        <v>41249</v>
      </c>
      <c r="AI215" s="10">
        <v>622</v>
      </c>
      <c r="AJ215" s="12">
        <v>55</v>
      </c>
      <c r="AK215" s="12">
        <f t="shared" si="14"/>
        <v>8.8424437299035379</v>
      </c>
      <c r="AL215" s="12" t="str">
        <f t="shared" si="17"/>
        <v>Até 10%</v>
      </c>
      <c r="AM215" s="6" t="s">
        <v>1120</v>
      </c>
      <c r="AN215" s="6" t="s">
        <v>616</v>
      </c>
      <c r="AO215" s="6" t="s">
        <v>699</v>
      </c>
      <c r="AP215" s="6">
        <v>0</v>
      </c>
      <c r="AQ215" s="6" t="s">
        <v>1121</v>
      </c>
      <c r="AR215" s="6" t="s">
        <v>1401</v>
      </c>
      <c r="AS215" s="6">
        <v>1</v>
      </c>
      <c r="AT215" s="6">
        <v>0</v>
      </c>
      <c r="AU215" s="6">
        <v>1</v>
      </c>
      <c r="AV215" s="6">
        <v>0</v>
      </c>
      <c r="AW215" s="6" t="s">
        <v>894</v>
      </c>
      <c r="AX215" s="31">
        <v>0</v>
      </c>
      <c r="AY215" s="31">
        <v>7</v>
      </c>
      <c r="AZ215" s="31">
        <v>0</v>
      </c>
      <c r="BA215" s="12">
        <f t="shared" si="15"/>
        <v>7</v>
      </c>
      <c r="BB215" s="31">
        <v>5</v>
      </c>
      <c r="BC215" s="31">
        <v>0</v>
      </c>
      <c r="BD215" s="31">
        <v>0</v>
      </c>
      <c r="BE215" s="31">
        <v>0</v>
      </c>
      <c r="BF215" s="12">
        <f t="shared" si="16"/>
        <v>0</v>
      </c>
      <c r="BG215" s="6" t="s">
        <v>636</v>
      </c>
      <c r="BH215" s="6" t="s">
        <v>1394</v>
      </c>
      <c r="BI215" s="6">
        <v>1</v>
      </c>
      <c r="BJ215" s="6" t="s">
        <v>609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</row>
    <row r="216" spans="1:70" ht="52.8" customHeight="1" x14ac:dyDescent="0.3">
      <c r="A216" s="6">
        <v>1491381</v>
      </c>
      <c r="B216" s="6" t="s">
        <v>26</v>
      </c>
      <c r="C216" s="15" t="s">
        <v>447</v>
      </c>
      <c r="D216" s="6" t="s">
        <v>64</v>
      </c>
      <c r="E216" s="6" t="s">
        <v>354</v>
      </c>
      <c r="F216" s="7">
        <v>41941</v>
      </c>
      <c r="G216" s="7">
        <v>42705</v>
      </c>
      <c r="H216" s="8" t="s">
        <v>42</v>
      </c>
      <c r="I216" s="3" t="s">
        <v>355</v>
      </c>
      <c r="J216" s="3" t="s">
        <v>18</v>
      </c>
      <c r="K216" t="s">
        <v>19</v>
      </c>
      <c r="L216" s="6" t="s">
        <v>696</v>
      </c>
      <c r="M216" s="14" t="s">
        <v>626</v>
      </c>
      <c r="N216" s="6" t="s">
        <v>657</v>
      </c>
      <c r="O216" s="6">
        <v>0</v>
      </c>
      <c r="P216" s="6" t="s">
        <v>1122</v>
      </c>
      <c r="Q216" s="35">
        <v>0</v>
      </c>
      <c r="R216" s="35">
        <v>0</v>
      </c>
      <c r="S216" s="35">
        <v>0</v>
      </c>
      <c r="T216" s="35">
        <v>0</v>
      </c>
      <c r="U216" s="35">
        <v>0</v>
      </c>
      <c r="V216" s="35">
        <v>0</v>
      </c>
      <c r="W216" s="35">
        <v>0</v>
      </c>
      <c r="X216" s="6" t="s">
        <v>657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14" t="s">
        <v>21</v>
      </c>
      <c r="AE216" s="13" t="s">
        <v>448</v>
      </c>
      <c r="AF216" s="13" t="s">
        <v>66</v>
      </c>
      <c r="AG216" s="8" t="s">
        <v>1357</v>
      </c>
      <c r="AH216" s="11">
        <v>40364</v>
      </c>
      <c r="AI216" s="10">
        <v>510</v>
      </c>
      <c r="AJ216" s="12">
        <v>14.99</v>
      </c>
      <c r="AK216" s="12">
        <f t="shared" si="14"/>
        <v>2.9392156862745096</v>
      </c>
      <c r="AL216" s="12" t="str">
        <f t="shared" si="17"/>
        <v>Até 10%</v>
      </c>
      <c r="AM216" s="6" t="s">
        <v>1123</v>
      </c>
      <c r="AN216" s="6" t="s">
        <v>616</v>
      </c>
      <c r="AO216" s="6" t="s">
        <v>699</v>
      </c>
      <c r="AP216" s="6">
        <v>0</v>
      </c>
      <c r="AQ216" s="6" t="s">
        <v>658</v>
      </c>
      <c r="AR216" s="6" t="s">
        <v>1399</v>
      </c>
      <c r="AS216" s="6">
        <v>0</v>
      </c>
      <c r="AT216" s="6">
        <v>0</v>
      </c>
      <c r="AU216" s="6">
        <v>0</v>
      </c>
      <c r="AV216" s="6">
        <v>0</v>
      </c>
      <c r="AW216" s="6" t="s">
        <v>1125</v>
      </c>
      <c r="AX216" s="31">
        <v>0</v>
      </c>
      <c r="AY216" s="31">
        <v>0</v>
      </c>
      <c r="AZ216" s="31">
        <v>0</v>
      </c>
      <c r="BA216" s="12">
        <f t="shared" si="15"/>
        <v>0</v>
      </c>
      <c r="BB216" s="31">
        <v>0</v>
      </c>
      <c r="BC216" s="31">
        <v>0</v>
      </c>
      <c r="BD216" s="31">
        <v>0</v>
      </c>
      <c r="BE216" s="31">
        <v>0</v>
      </c>
      <c r="BF216" s="12">
        <f t="shared" si="16"/>
        <v>0</v>
      </c>
      <c r="BG216" s="6">
        <v>0</v>
      </c>
      <c r="BH216" s="6">
        <v>0</v>
      </c>
      <c r="BI216" s="6">
        <v>0</v>
      </c>
      <c r="BJ216" s="6" t="s">
        <v>609</v>
      </c>
      <c r="BK216" s="6">
        <v>0</v>
      </c>
      <c r="BL216" s="6">
        <v>0</v>
      </c>
      <c r="BM216" s="6">
        <v>1</v>
      </c>
      <c r="BN216" s="6">
        <v>1</v>
      </c>
      <c r="BO216" s="6">
        <v>0</v>
      </c>
      <c r="BP216" s="6">
        <v>0</v>
      </c>
      <c r="BQ216" s="6">
        <v>0</v>
      </c>
      <c r="BR216" s="6">
        <v>0</v>
      </c>
    </row>
    <row r="217" spans="1:70" ht="52.8" customHeight="1" x14ac:dyDescent="0.3">
      <c r="A217" s="6">
        <v>610166</v>
      </c>
      <c r="B217" s="6" t="s">
        <v>46</v>
      </c>
      <c r="C217" s="15" t="s">
        <v>449</v>
      </c>
      <c r="D217" s="6" t="s">
        <v>64</v>
      </c>
      <c r="E217" s="6" t="s">
        <v>15</v>
      </c>
      <c r="F217" s="7">
        <v>41950</v>
      </c>
      <c r="G217" s="7">
        <v>41963</v>
      </c>
      <c r="H217" s="8" t="s">
        <v>71</v>
      </c>
      <c r="I217" s="3" t="s">
        <v>17</v>
      </c>
      <c r="J217" s="3" t="s">
        <v>18</v>
      </c>
      <c r="K217" t="s">
        <v>19</v>
      </c>
      <c r="L217" s="6" t="s">
        <v>695</v>
      </c>
      <c r="M217" s="14" t="s">
        <v>626</v>
      </c>
      <c r="N217" s="6" t="s">
        <v>657</v>
      </c>
      <c r="O217" s="6">
        <v>0</v>
      </c>
      <c r="P217" s="6" t="s">
        <v>707</v>
      </c>
      <c r="Q217" s="35">
        <v>0</v>
      </c>
      <c r="R217" s="35">
        <v>1</v>
      </c>
      <c r="S217" s="35">
        <v>0</v>
      </c>
      <c r="T217" s="35">
        <v>0</v>
      </c>
      <c r="U217" s="35">
        <v>0</v>
      </c>
      <c r="V217" s="35">
        <v>0</v>
      </c>
      <c r="W217" s="35">
        <v>0</v>
      </c>
      <c r="X217" s="6" t="s">
        <v>801</v>
      </c>
      <c r="Y217" s="6">
        <v>1</v>
      </c>
      <c r="Z217" s="6">
        <v>0</v>
      </c>
      <c r="AA217" s="6">
        <v>0</v>
      </c>
      <c r="AB217" s="6">
        <v>1</v>
      </c>
      <c r="AC217" s="6">
        <v>0</v>
      </c>
      <c r="AD217" s="14" t="s">
        <v>21</v>
      </c>
      <c r="AE217" s="13" t="s">
        <v>450</v>
      </c>
      <c r="AF217" s="13" t="s">
        <v>66</v>
      </c>
      <c r="AG217" s="8" t="s">
        <v>1357</v>
      </c>
      <c r="AH217" s="11">
        <v>40500</v>
      </c>
      <c r="AI217" s="10">
        <v>510</v>
      </c>
      <c r="AJ217" s="12">
        <v>0</v>
      </c>
      <c r="AK217" s="12">
        <f t="shared" si="14"/>
        <v>0</v>
      </c>
      <c r="AL217" s="12" t="str">
        <f t="shared" si="17"/>
        <v>Não Informado</v>
      </c>
      <c r="AM217" s="6" t="s">
        <v>1126</v>
      </c>
      <c r="AN217" s="6" t="s">
        <v>618</v>
      </c>
      <c r="AO217" s="6" t="s">
        <v>699</v>
      </c>
      <c r="AP217" s="6">
        <v>0</v>
      </c>
      <c r="AQ217" s="6" t="s">
        <v>1118</v>
      </c>
      <c r="AR217" s="6" t="s">
        <v>1399</v>
      </c>
      <c r="AS217" s="6">
        <v>1</v>
      </c>
      <c r="AT217" s="6">
        <v>0</v>
      </c>
      <c r="AU217" s="6">
        <v>1</v>
      </c>
      <c r="AV217" s="6">
        <v>0</v>
      </c>
      <c r="AW217" s="6" t="s">
        <v>1127</v>
      </c>
      <c r="AX217" s="31">
        <v>1</v>
      </c>
      <c r="AY217" s="31">
        <v>9</v>
      </c>
      <c r="AZ217" s="31">
        <v>0</v>
      </c>
      <c r="BA217" s="12">
        <f t="shared" si="15"/>
        <v>21.166666666666668</v>
      </c>
      <c r="BB217" s="31">
        <v>17</v>
      </c>
      <c r="BC217" s="31">
        <v>0</v>
      </c>
      <c r="BD217" s="31">
        <v>0</v>
      </c>
      <c r="BE217" s="31">
        <v>0</v>
      </c>
      <c r="BF217" s="12">
        <f t="shared" si="16"/>
        <v>0</v>
      </c>
      <c r="BG217" s="6" t="s">
        <v>636</v>
      </c>
      <c r="BH217" s="6" t="s">
        <v>1394</v>
      </c>
      <c r="BI217" s="6">
        <v>1</v>
      </c>
      <c r="BJ217" s="6" t="s">
        <v>609</v>
      </c>
      <c r="BK217" s="6">
        <v>0</v>
      </c>
      <c r="BL217" s="6">
        <v>1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  <c r="BR217" s="6">
        <v>0</v>
      </c>
    </row>
    <row r="218" spans="1:70" ht="52.8" customHeight="1" x14ac:dyDescent="0.3">
      <c r="A218" s="6">
        <v>655665</v>
      </c>
      <c r="B218" s="6" t="s">
        <v>13</v>
      </c>
      <c r="C218" s="15" t="s">
        <v>1128</v>
      </c>
      <c r="D218" s="6" t="s">
        <v>55</v>
      </c>
      <c r="E218" s="6" t="s">
        <v>15</v>
      </c>
      <c r="F218" s="7">
        <v>42048</v>
      </c>
      <c r="G218" s="7">
        <v>42131</v>
      </c>
      <c r="H218" s="8" t="s">
        <v>52</v>
      </c>
      <c r="I218" s="3" t="s">
        <v>17</v>
      </c>
      <c r="J218" s="3" t="s">
        <v>18</v>
      </c>
      <c r="K218" t="s">
        <v>19</v>
      </c>
      <c r="L218" s="6" t="s">
        <v>695</v>
      </c>
      <c r="M218" s="14" t="s">
        <v>626</v>
      </c>
      <c r="N218" s="6" t="s">
        <v>657</v>
      </c>
      <c r="O218" s="6">
        <v>0</v>
      </c>
      <c r="P218" s="6" t="s">
        <v>714</v>
      </c>
      <c r="Q218" s="35">
        <v>1</v>
      </c>
      <c r="R218" s="35">
        <v>0</v>
      </c>
      <c r="S218" s="35">
        <v>0</v>
      </c>
      <c r="T218" s="35">
        <v>0</v>
      </c>
      <c r="U218" s="35">
        <v>0</v>
      </c>
      <c r="V218" s="35">
        <v>0</v>
      </c>
      <c r="W218" s="35">
        <v>0</v>
      </c>
      <c r="X218" s="6" t="s">
        <v>971</v>
      </c>
      <c r="Y218" s="6">
        <v>1</v>
      </c>
      <c r="Z218" s="6">
        <v>0</v>
      </c>
      <c r="AA218" s="6">
        <v>0</v>
      </c>
      <c r="AB218" s="6">
        <v>0</v>
      </c>
      <c r="AC218" s="6">
        <v>1</v>
      </c>
      <c r="AD218" s="14" t="s">
        <v>43</v>
      </c>
      <c r="AE218" s="13" t="s">
        <v>451</v>
      </c>
      <c r="AF218" s="13" t="s">
        <v>976</v>
      </c>
      <c r="AG218" s="8" t="s">
        <v>1357</v>
      </c>
      <c r="AH218" s="11">
        <v>41534</v>
      </c>
      <c r="AI218" s="10">
        <v>678</v>
      </c>
      <c r="AJ218" s="12">
        <v>155.91999999999999</v>
      </c>
      <c r="AK218" s="12">
        <f t="shared" si="14"/>
        <v>22.997050147492622</v>
      </c>
      <c r="AL218" s="12" t="str">
        <f t="shared" si="17"/>
        <v>10% a 25%</v>
      </c>
      <c r="AM218" s="6" t="s">
        <v>1132</v>
      </c>
      <c r="AN218" s="6" t="s">
        <v>616</v>
      </c>
      <c r="AO218" s="6" t="s">
        <v>701</v>
      </c>
      <c r="AP218" s="6">
        <v>1</v>
      </c>
      <c r="AQ218" s="6" t="s">
        <v>1129</v>
      </c>
      <c r="AR218" s="6" t="s">
        <v>1401</v>
      </c>
      <c r="AS218" s="6">
        <v>1</v>
      </c>
      <c r="AT218" s="6">
        <v>0</v>
      </c>
      <c r="AU218" s="6">
        <v>0</v>
      </c>
      <c r="AV218" s="6">
        <v>0</v>
      </c>
      <c r="AW218" s="6" t="s">
        <v>818</v>
      </c>
      <c r="AX218" s="31">
        <v>0</v>
      </c>
      <c r="AY218" s="31">
        <v>4</v>
      </c>
      <c r="AZ218" s="31">
        <v>0</v>
      </c>
      <c r="BA218" s="12">
        <f t="shared" si="15"/>
        <v>4</v>
      </c>
      <c r="BB218" s="31">
        <v>3</v>
      </c>
      <c r="BC218" s="31">
        <v>0</v>
      </c>
      <c r="BD218" s="31">
        <v>0</v>
      </c>
      <c r="BE218" s="31">
        <v>0</v>
      </c>
      <c r="BF218" s="12">
        <f t="shared" si="16"/>
        <v>0</v>
      </c>
      <c r="BG218" s="6" t="s">
        <v>636</v>
      </c>
      <c r="BH218" s="6" t="s">
        <v>1394</v>
      </c>
      <c r="BI218" s="6">
        <v>1</v>
      </c>
      <c r="BJ218" s="6" t="s">
        <v>609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</row>
    <row r="219" spans="1:70" ht="52.8" customHeight="1" x14ac:dyDescent="0.3">
      <c r="A219" s="6">
        <v>315647</v>
      </c>
      <c r="B219" s="6" t="s">
        <v>24</v>
      </c>
      <c r="C219" s="15" t="s">
        <v>452</v>
      </c>
      <c r="D219" s="6" t="s">
        <v>14</v>
      </c>
      <c r="E219" s="6" t="s">
        <v>15</v>
      </c>
      <c r="F219" s="7">
        <v>42041</v>
      </c>
      <c r="G219" s="7">
        <v>42089</v>
      </c>
      <c r="H219" s="8" t="s">
        <v>111</v>
      </c>
      <c r="I219" s="3" t="s">
        <v>17</v>
      </c>
      <c r="J219" s="3" t="s">
        <v>18</v>
      </c>
      <c r="K219" t="s">
        <v>19</v>
      </c>
      <c r="L219" s="6" t="s">
        <v>696</v>
      </c>
      <c r="M219" s="14" t="s">
        <v>1130</v>
      </c>
      <c r="N219" s="6" t="s">
        <v>703</v>
      </c>
      <c r="O219" s="6">
        <v>1</v>
      </c>
      <c r="P219" s="6" t="s">
        <v>781</v>
      </c>
      <c r="Q219" s="35">
        <v>1</v>
      </c>
      <c r="R219" s="35">
        <v>0</v>
      </c>
      <c r="S219" s="35">
        <v>0</v>
      </c>
      <c r="T219" s="35">
        <v>0</v>
      </c>
      <c r="U219" s="35">
        <v>1</v>
      </c>
      <c r="V219" s="35">
        <v>0</v>
      </c>
      <c r="W219" s="35">
        <v>0</v>
      </c>
      <c r="X219" s="6" t="s">
        <v>1131</v>
      </c>
      <c r="Y219" s="6">
        <v>1</v>
      </c>
      <c r="Z219" s="6">
        <v>0</v>
      </c>
      <c r="AA219" s="6">
        <v>1</v>
      </c>
      <c r="AB219" s="6">
        <v>0</v>
      </c>
      <c r="AC219" s="6">
        <v>0</v>
      </c>
      <c r="AD219" s="14" t="s">
        <v>21</v>
      </c>
      <c r="AE219" s="13" t="s">
        <v>453</v>
      </c>
      <c r="AF219" s="13" t="s">
        <v>23</v>
      </c>
      <c r="AG219" s="8" t="s">
        <v>1357</v>
      </c>
      <c r="AH219" s="11">
        <v>41221</v>
      </c>
      <c r="AI219" s="10">
        <v>622</v>
      </c>
      <c r="AJ219" s="12">
        <v>15.6</v>
      </c>
      <c r="AK219" s="12">
        <f t="shared" si="14"/>
        <v>2.508038585209003</v>
      </c>
      <c r="AL219" s="12" t="str">
        <f t="shared" si="17"/>
        <v>Até 10%</v>
      </c>
      <c r="AM219" s="6" t="s">
        <v>835</v>
      </c>
      <c r="AN219" s="6" t="s">
        <v>616</v>
      </c>
      <c r="AO219" s="6" t="s">
        <v>699</v>
      </c>
      <c r="AP219" s="6">
        <v>0</v>
      </c>
      <c r="AQ219" s="6" t="s">
        <v>658</v>
      </c>
      <c r="AR219" s="6" t="s">
        <v>1399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31">
        <v>0</v>
      </c>
      <c r="AY219" s="31">
        <v>0</v>
      </c>
      <c r="AZ219" s="31">
        <v>0</v>
      </c>
      <c r="BA219" s="12">
        <f t="shared" si="15"/>
        <v>0</v>
      </c>
      <c r="BB219" s="31">
        <v>0</v>
      </c>
      <c r="BC219" s="31">
        <v>0</v>
      </c>
      <c r="BD219" s="31">
        <v>0</v>
      </c>
      <c r="BE219" s="31">
        <v>0</v>
      </c>
      <c r="BF219" s="12">
        <f t="shared" si="16"/>
        <v>0</v>
      </c>
      <c r="BG219" s="6">
        <v>0</v>
      </c>
      <c r="BH219" s="6">
        <v>0</v>
      </c>
      <c r="BI219" s="6">
        <v>0</v>
      </c>
      <c r="BJ219" s="6" t="s">
        <v>620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</row>
    <row r="220" spans="1:70" ht="52.8" customHeight="1" x14ac:dyDescent="0.3">
      <c r="A220" s="6">
        <v>608330</v>
      </c>
      <c r="B220" s="6" t="s">
        <v>46</v>
      </c>
      <c r="C220" s="15" t="s">
        <v>454</v>
      </c>
      <c r="D220" s="6" t="s">
        <v>148</v>
      </c>
      <c r="E220" s="6" t="s">
        <v>15</v>
      </c>
      <c r="F220" s="7">
        <v>41948</v>
      </c>
      <c r="G220" s="7">
        <v>41982</v>
      </c>
      <c r="H220" s="8" t="s">
        <v>94</v>
      </c>
      <c r="I220" s="3" t="s">
        <v>17</v>
      </c>
      <c r="J220" s="3" t="s">
        <v>18</v>
      </c>
      <c r="K220" t="s">
        <v>19</v>
      </c>
      <c r="L220" s="6" t="s">
        <v>695</v>
      </c>
      <c r="M220" s="14" t="s">
        <v>724</v>
      </c>
      <c r="N220" s="6" t="s">
        <v>657</v>
      </c>
      <c r="O220" s="6">
        <v>0</v>
      </c>
      <c r="P220" s="6" t="s">
        <v>735</v>
      </c>
      <c r="Q220" s="35">
        <v>1</v>
      </c>
      <c r="R220" s="35">
        <v>0</v>
      </c>
      <c r="S220" s="35">
        <v>0</v>
      </c>
      <c r="T220" s="35">
        <v>0</v>
      </c>
      <c r="U220" s="35">
        <v>0</v>
      </c>
      <c r="V220" s="35">
        <v>0</v>
      </c>
      <c r="W220" s="35">
        <v>0</v>
      </c>
      <c r="X220" s="6" t="s">
        <v>971</v>
      </c>
      <c r="Y220" s="6">
        <v>1</v>
      </c>
      <c r="Z220" s="6">
        <v>0</v>
      </c>
      <c r="AA220" s="6">
        <v>0</v>
      </c>
      <c r="AB220" s="6">
        <v>0</v>
      </c>
      <c r="AC220" s="6">
        <v>1</v>
      </c>
      <c r="AD220" s="14" t="s">
        <v>21</v>
      </c>
      <c r="AE220" s="13" t="s">
        <v>212</v>
      </c>
      <c r="AF220" s="13" t="s">
        <v>150</v>
      </c>
      <c r="AG220" s="8" t="s">
        <v>1357</v>
      </c>
      <c r="AH220" s="11">
        <v>41131</v>
      </c>
      <c r="AI220" s="10">
        <v>622</v>
      </c>
      <c r="AJ220" s="12">
        <v>176.97</v>
      </c>
      <c r="AK220" s="12">
        <f t="shared" si="14"/>
        <v>28.451768488745984</v>
      </c>
      <c r="AL220" s="12" t="str">
        <f t="shared" si="17"/>
        <v>25% a 50%</v>
      </c>
      <c r="AM220" s="6" t="s">
        <v>1133</v>
      </c>
      <c r="AN220" s="6" t="s">
        <v>616</v>
      </c>
      <c r="AO220" s="6" t="s">
        <v>701</v>
      </c>
      <c r="AP220" s="6">
        <v>1</v>
      </c>
      <c r="AQ220" s="6" t="s">
        <v>658</v>
      </c>
      <c r="AR220" s="6" t="s">
        <v>1399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31">
        <v>0</v>
      </c>
      <c r="AY220" s="31">
        <v>0</v>
      </c>
      <c r="AZ220" s="31">
        <v>0</v>
      </c>
      <c r="BA220" s="12">
        <f t="shared" si="15"/>
        <v>0</v>
      </c>
      <c r="BB220" s="31">
        <v>0</v>
      </c>
      <c r="BC220" s="31">
        <v>0</v>
      </c>
      <c r="BD220" s="31">
        <v>0</v>
      </c>
      <c r="BE220" s="31">
        <v>0</v>
      </c>
      <c r="BF220" s="12">
        <f t="shared" si="16"/>
        <v>0</v>
      </c>
      <c r="BG220" s="6">
        <v>0</v>
      </c>
      <c r="BH220" s="6">
        <v>0</v>
      </c>
      <c r="BI220" s="6">
        <v>0</v>
      </c>
      <c r="BJ220" s="6" t="s">
        <v>620</v>
      </c>
      <c r="BK220" s="6">
        <v>0</v>
      </c>
      <c r="BL220" s="6">
        <v>0</v>
      </c>
      <c r="BM220" s="6">
        <v>0</v>
      </c>
      <c r="BN220" s="6">
        <v>0</v>
      </c>
      <c r="BO220" s="6" t="s">
        <v>1134</v>
      </c>
      <c r="BP220" s="6" t="s">
        <v>1459</v>
      </c>
      <c r="BQ220" s="6" t="s">
        <v>1460</v>
      </c>
      <c r="BR220" s="6" t="s">
        <v>1460</v>
      </c>
    </row>
    <row r="221" spans="1:70" ht="52.8" customHeight="1" x14ac:dyDescent="0.3">
      <c r="A221" s="6">
        <v>597976</v>
      </c>
      <c r="B221" s="6" t="s">
        <v>13</v>
      </c>
      <c r="C221" s="15" t="s">
        <v>1135</v>
      </c>
      <c r="D221" s="6" t="s">
        <v>55</v>
      </c>
      <c r="E221" s="6" t="s">
        <v>15</v>
      </c>
      <c r="F221" s="7">
        <v>41929</v>
      </c>
      <c r="G221" s="7">
        <v>41963</v>
      </c>
      <c r="H221" s="8" t="s">
        <v>77</v>
      </c>
      <c r="I221" s="3" t="s">
        <v>48</v>
      </c>
      <c r="J221" s="3" t="s">
        <v>18</v>
      </c>
      <c r="K221" t="s">
        <v>19</v>
      </c>
      <c r="L221" s="6" t="s">
        <v>696</v>
      </c>
      <c r="M221" s="14" t="s">
        <v>626</v>
      </c>
      <c r="N221" s="6" t="s">
        <v>657</v>
      </c>
      <c r="O221" s="6">
        <v>0</v>
      </c>
      <c r="P221" s="6" t="s">
        <v>861</v>
      </c>
      <c r="Q221" s="35">
        <v>1</v>
      </c>
      <c r="R221" s="35">
        <v>0</v>
      </c>
      <c r="S221" s="35">
        <v>0</v>
      </c>
      <c r="T221" s="35">
        <v>1</v>
      </c>
      <c r="U221" s="35">
        <v>0</v>
      </c>
      <c r="V221" s="35">
        <v>0</v>
      </c>
      <c r="W221" s="35">
        <v>0</v>
      </c>
      <c r="X221" s="6" t="s">
        <v>1049</v>
      </c>
      <c r="Y221" s="6">
        <v>1</v>
      </c>
      <c r="Z221" s="6">
        <v>1</v>
      </c>
      <c r="AA221" s="6">
        <v>0</v>
      </c>
      <c r="AB221" s="6">
        <v>1</v>
      </c>
      <c r="AC221" s="6">
        <v>0</v>
      </c>
      <c r="AD221" s="14" t="s">
        <v>43</v>
      </c>
      <c r="AE221" s="13" t="s">
        <v>455</v>
      </c>
      <c r="AF221" s="13" t="s">
        <v>1136</v>
      </c>
      <c r="AG221" s="8" t="s">
        <v>1348</v>
      </c>
      <c r="AH221" s="11">
        <v>41389</v>
      </c>
      <c r="AI221" s="10">
        <v>678</v>
      </c>
      <c r="AJ221" s="12">
        <v>330.7</v>
      </c>
      <c r="AK221" s="12">
        <f t="shared" si="14"/>
        <v>48.775811209439532</v>
      </c>
      <c r="AL221" s="12" t="str">
        <f t="shared" si="17"/>
        <v>25% a 50%</v>
      </c>
      <c r="AM221" s="6" t="s">
        <v>737</v>
      </c>
      <c r="AN221" s="6" t="s">
        <v>1454</v>
      </c>
      <c r="AO221" s="6" t="s">
        <v>701</v>
      </c>
      <c r="AP221" s="6">
        <v>1</v>
      </c>
      <c r="AQ221" s="6" t="s">
        <v>1137</v>
      </c>
      <c r="AR221" s="6" t="s">
        <v>1403</v>
      </c>
      <c r="AS221" s="6">
        <v>1</v>
      </c>
      <c r="AT221" s="6">
        <v>0</v>
      </c>
      <c r="AU221" s="6">
        <v>0</v>
      </c>
      <c r="AV221" s="6">
        <v>0</v>
      </c>
      <c r="AW221" s="6" t="s">
        <v>802</v>
      </c>
      <c r="AX221" s="31">
        <v>0</v>
      </c>
      <c r="AY221" s="31">
        <v>6</v>
      </c>
      <c r="AZ221" s="31">
        <v>0</v>
      </c>
      <c r="BA221" s="12">
        <f t="shared" si="15"/>
        <v>6</v>
      </c>
      <c r="BB221" s="31">
        <v>5</v>
      </c>
      <c r="BC221" s="31">
        <v>0</v>
      </c>
      <c r="BD221" s="31">
        <v>0</v>
      </c>
      <c r="BE221" s="31">
        <v>0</v>
      </c>
      <c r="BF221" s="12">
        <f t="shared" si="16"/>
        <v>0</v>
      </c>
      <c r="BG221" s="6" t="s">
        <v>636</v>
      </c>
      <c r="BH221" s="6" t="s">
        <v>1394</v>
      </c>
      <c r="BI221" s="6">
        <v>1</v>
      </c>
      <c r="BJ221" s="6" t="s">
        <v>609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</row>
    <row r="222" spans="1:70" ht="52.8" customHeight="1" x14ac:dyDescent="0.3">
      <c r="A222" s="6">
        <v>557509</v>
      </c>
      <c r="B222" s="6" t="s">
        <v>46</v>
      </c>
      <c r="C222" s="15" t="s">
        <v>456</v>
      </c>
      <c r="D222" s="6" t="s">
        <v>55</v>
      </c>
      <c r="E222" s="6" t="s">
        <v>15</v>
      </c>
      <c r="F222" s="7">
        <v>41858</v>
      </c>
      <c r="G222" s="7">
        <v>42482</v>
      </c>
      <c r="H222" s="8" t="s">
        <v>16</v>
      </c>
      <c r="I222" s="3" t="s">
        <v>48</v>
      </c>
      <c r="J222" s="3" t="s">
        <v>18</v>
      </c>
      <c r="K222" t="s">
        <v>19</v>
      </c>
      <c r="L222" s="6" t="s">
        <v>695</v>
      </c>
      <c r="M222" s="14" t="s">
        <v>626</v>
      </c>
      <c r="N222" s="6" t="s">
        <v>657</v>
      </c>
      <c r="O222" s="6">
        <v>0</v>
      </c>
      <c r="P222" s="6" t="s">
        <v>763</v>
      </c>
      <c r="Q222" s="35">
        <v>0</v>
      </c>
      <c r="R222" s="35">
        <v>0</v>
      </c>
      <c r="S222" s="35">
        <v>1</v>
      </c>
      <c r="T222" s="35">
        <v>0</v>
      </c>
      <c r="U222" s="35">
        <v>0</v>
      </c>
      <c r="V222" s="35">
        <v>0</v>
      </c>
      <c r="W222" s="35">
        <v>0</v>
      </c>
      <c r="X222" s="6" t="s">
        <v>657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14" t="s">
        <v>21</v>
      </c>
      <c r="AE222" s="13" t="s">
        <v>457</v>
      </c>
      <c r="AF222" s="13" t="s">
        <v>959</v>
      </c>
      <c r="AG222" s="8" t="s">
        <v>1348</v>
      </c>
      <c r="AH222" s="11">
        <v>39772</v>
      </c>
      <c r="AI222" s="10">
        <v>415</v>
      </c>
      <c r="AJ222" s="12">
        <v>40</v>
      </c>
      <c r="AK222" s="12">
        <f t="shared" si="14"/>
        <v>9.6385542168674707</v>
      </c>
      <c r="AL222" s="12" t="str">
        <f t="shared" si="17"/>
        <v>Até 10%</v>
      </c>
      <c r="AM222" s="6" t="s">
        <v>1138</v>
      </c>
      <c r="AN222" s="6" t="s">
        <v>1455</v>
      </c>
      <c r="AO222" s="6" t="s">
        <v>699</v>
      </c>
      <c r="AP222" s="6">
        <v>0</v>
      </c>
      <c r="AQ222" s="6" t="s">
        <v>625</v>
      </c>
      <c r="AR222" s="6" t="s">
        <v>1400</v>
      </c>
      <c r="AS222" s="6">
        <v>1</v>
      </c>
      <c r="AT222" s="6">
        <v>0</v>
      </c>
      <c r="AU222" s="6">
        <v>0</v>
      </c>
      <c r="AV222" s="6">
        <v>0</v>
      </c>
      <c r="AW222" s="6" t="s">
        <v>1139</v>
      </c>
      <c r="AX222" s="31">
        <v>2</v>
      </c>
      <c r="AY222" s="31">
        <v>6</v>
      </c>
      <c r="AZ222" s="31">
        <v>0</v>
      </c>
      <c r="BA222" s="12">
        <f t="shared" si="15"/>
        <v>30.333333333333332</v>
      </c>
      <c r="BB222" s="31">
        <v>10</v>
      </c>
      <c r="BC222" s="31">
        <v>0</v>
      </c>
      <c r="BD222" s="31">
        <v>0</v>
      </c>
      <c r="BE222" s="31">
        <v>0</v>
      </c>
      <c r="BF222" s="12">
        <f t="shared" si="16"/>
        <v>0</v>
      </c>
      <c r="BG222" s="6" t="s">
        <v>615</v>
      </c>
      <c r="BH222" s="6">
        <v>0</v>
      </c>
      <c r="BI222" s="6">
        <v>0</v>
      </c>
      <c r="BJ222" s="6" t="s">
        <v>609</v>
      </c>
      <c r="BK222" s="6">
        <v>0</v>
      </c>
      <c r="BL222" s="6">
        <v>1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</row>
    <row r="223" spans="1:70" ht="52.8" customHeight="1" x14ac:dyDescent="0.3">
      <c r="A223" s="6">
        <v>340557</v>
      </c>
      <c r="B223" s="6" t="s">
        <v>24</v>
      </c>
      <c r="C223" s="15" t="s">
        <v>458</v>
      </c>
      <c r="D223" s="6" t="s">
        <v>14</v>
      </c>
      <c r="E223" s="6" t="s">
        <v>15</v>
      </c>
      <c r="F223" s="7">
        <v>42304</v>
      </c>
      <c r="G223" s="7">
        <v>42451</v>
      </c>
      <c r="H223" s="8" t="s">
        <v>16</v>
      </c>
      <c r="I223" s="3" t="s">
        <v>17</v>
      </c>
      <c r="J223" s="3" t="s">
        <v>18</v>
      </c>
      <c r="K223" t="s">
        <v>19</v>
      </c>
      <c r="L223" s="6" t="s">
        <v>695</v>
      </c>
      <c r="M223" s="14" t="s">
        <v>892</v>
      </c>
      <c r="N223" s="6" t="s">
        <v>703</v>
      </c>
      <c r="O223" s="6">
        <v>1</v>
      </c>
      <c r="P223" s="6" t="s">
        <v>1022</v>
      </c>
      <c r="Q223" s="35">
        <v>1</v>
      </c>
      <c r="R223" s="35">
        <v>0</v>
      </c>
      <c r="S223" s="35">
        <v>0</v>
      </c>
      <c r="T223" s="35">
        <v>0</v>
      </c>
      <c r="U223" s="35">
        <v>0</v>
      </c>
      <c r="V223" s="35">
        <v>0</v>
      </c>
      <c r="W223" s="35">
        <v>0</v>
      </c>
      <c r="X223" s="6" t="s">
        <v>1049</v>
      </c>
      <c r="Y223" s="6">
        <v>1</v>
      </c>
      <c r="Z223" s="6">
        <v>1</v>
      </c>
      <c r="AA223" s="6">
        <v>0</v>
      </c>
      <c r="AB223" s="6">
        <v>1</v>
      </c>
      <c r="AC223" s="6">
        <v>0</v>
      </c>
      <c r="AD223" s="14" t="s">
        <v>21</v>
      </c>
      <c r="AE223" s="13" t="s">
        <v>459</v>
      </c>
      <c r="AF223" s="13" t="s">
        <v>23</v>
      </c>
      <c r="AG223" s="8" t="s">
        <v>1357</v>
      </c>
      <c r="AH223" s="11">
        <v>41275</v>
      </c>
      <c r="AI223" s="10">
        <v>678</v>
      </c>
      <c r="AJ223" s="12">
        <v>40</v>
      </c>
      <c r="AK223" s="12">
        <f t="shared" si="14"/>
        <v>5.8997050147492622</v>
      </c>
      <c r="AL223" s="12" t="str">
        <f t="shared" si="17"/>
        <v>Até 10%</v>
      </c>
      <c r="AM223" s="6" t="s">
        <v>1140</v>
      </c>
      <c r="AN223" s="6" t="s">
        <v>655</v>
      </c>
      <c r="AO223" s="6" t="s">
        <v>699</v>
      </c>
      <c r="AP223" s="6">
        <v>0</v>
      </c>
      <c r="AQ223" s="6" t="s">
        <v>777</v>
      </c>
      <c r="AR223" s="6" t="s">
        <v>1401</v>
      </c>
      <c r="AS223" s="6">
        <v>0</v>
      </c>
      <c r="AT223" s="6">
        <v>0</v>
      </c>
      <c r="AU223" s="6">
        <v>0</v>
      </c>
      <c r="AV223" s="6">
        <v>0</v>
      </c>
      <c r="AW223" s="6" t="s">
        <v>1023</v>
      </c>
      <c r="AX223" s="31">
        <v>0</v>
      </c>
      <c r="AY223" s="31">
        <v>0</v>
      </c>
      <c r="AZ223" s="31">
        <v>0</v>
      </c>
      <c r="BA223" s="12">
        <f t="shared" si="15"/>
        <v>0</v>
      </c>
      <c r="BB223" s="31">
        <v>6</v>
      </c>
      <c r="BC223" s="31">
        <v>0</v>
      </c>
      <c r="BD223" s="31">
        <v>8</v>
      </c>
      <c r="BE223" s="31">
        <v>0</v>
      </c>
      <c r="BF223" s="12">
        <f t="shared" si="16"/>
        <v>8</v>
      </c>
      <c r="BG223" s="6" t="s">
        <v>636</v>
      </c>
      <c r="BH223" s="6" t="s">
        <v>1394</v>
      </c>
      <c r="BI223" s="6">
        <v>1</v>
      </c>
      <c r="BJ223" s="6" t="s">
        <v>609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</row>
    <row r="224" spans="1:70" ht="52.8" customHeight="1" x14ac:dyDescent="0.3">
      <c r="A224" s="6">
        <v>557348</v>
      </c>
      <c r="B224" s="6" t="s">
        <v>46</v>
      </c>
      <c r="C224" s="15" t="s">
        <v>460</v>
      </c>
      <c r="D224" s="6" t="s">
        <v>55</v>
      </c>
      <c r="E224" s="6" t="s">
        <v>15</v>
      </c>
      <c r="F224" s="7">
        <v>41858</v>
      </c>
      <c r="G224" s="7">
        <v>41906</v>
      </c>
      <c r="H224" s="8" t="s">
        <v>52</v>
      </c>
      <c r="I224" s="3" t="s">
        <v>17</v>
      </c>
      <c r="J224" s="3" t="s">
        <v>18</v>
      </c>
      <c r="K224" t="s">
        <v>19</v>
      </c>
      <c r="L224" s="6" t="s">
        <v>695</v>
      </c>
      <c r="M224" s="14" t="s">
        <v>626</v>
      </c>
      <c r="N224" s="6" t="s">
        <v>657</v>
      </c>
      <c r="O224" s="6">
        <v>0</v>
      </c>
      <c r="P224" s="6" t="s">
        <v>843</v>
      </c>
      <c r="Q224" s="35">
        <v>1</v>
      </c>
      <c r="R224" s="35">
        <v>0</v>
      </c>
      <c r="S224" s="35">
        <v>1</v>
      </c>
      <c r="T224" s="35">
        <v>0</v>
      </c>
      <c r="U224" s="35">
        <v>0</v>
      </c>
      <c r="V224" s="35">
        <v>0</v>
      </c>
      <c r="W224" s="35">
        <v>0</v>
      </c>
      <c r="X224" s="6" t="s">
        <v>939</v>
      </c>
      <c r="Y224" s="6">
        <v>1</v>
      </c>
      <c r="Z224" s="6">
        <v>0</v>
      </c>
      <c r="AA224" s="6">
        <v>1</v>
      </c>
      <c r="AB224" s="6">
        <v>0</v>
      </c>
      <c r="AC224" s="6">
        <v>1</v>
      </c>
      <c r="AD224" s="14" t="s">
        <v>21</v>
      </c>
      <c r="AE224" s="13" t="s">
        <v>461</v>
      </c>
      <c r="AF224" s="13" t="s">
        <v>1141</v>
      </c>
      <c r="AG224" s="8" t="s">
        <v>1348</v>
      </c>
      <c r="AH224" s="11">
        <v>40983</v>
      </c>
      <c r="AI224" s="10">
        <v>622</v>
      </c>
      <c r="AJ224" s="12">
        <v>206</v>
      </c>
      <c r="AK224" s="12">
        <f t="shared" si="14"/>
        <v>33.118971061093248</v>
      </c>
      <c r="AL224" s="12" t="str">
        <f t="shared" si="17"/>
        <v>25% a 50%</v>
      </c>
      <c r="AM224" s="6" t="s">
        <v>786</v>
      </c>
      <c r="AN224" s="6" t="s">
        <v>1455</v>
      </c>
      <c r="AO224" s="6" t="s">
        <v>701</v>
      </c>
      <c r="AP224" s="6">
        <v>1</v>
      </c>
      <c r="AQ224" s="6" t="s">
        <v>1142</v>
      </c>
      <c r="AR224" s="6" t="s">
        <v>1399</v>
      </c>
      <c r="AS224" s="6">
        <v>1</v>
      </c>
      <c r="AT224" s="6">
        <v>0</v>
      </c>
      <c r="AU224" s="6">
        <v>0</v>
      </c>
      <c r="AV224" s="6">
        <v>0</v>
      </c>
      <c r="AW224" s="6" t="s">
        <v>812</v>
      </c>
      <c r="AX224" s="31">
        <v>2</v>
      </c>
      <c r="AY224" s="31">
        <v>0</v>
      </c>
      <c r="AZ224" s="31">
        <v>0</v>
      </c>
      <c r="BA224" s="12">
        <f t="shared" ref="BA224:BA229" si="18">(AX224*365+AY224*30+AZ224)/30</f>
        <v>24.333333333333332</v>
      </c>
      <c r="BB224" s="31">
        <v>20</v>
      </c>
      <c r="BC224" s="31">
        <v>0</v>
      </c>
      <c r="BD224" s="31">
        <v>0</v>
      </c>
      <c r="BE224" s="31">
        <v>0</v>
      </c>
      <c r="BF224" s="12">
        <f t="shared" si="16"/>
        <v>0</v>
      </c>
      <c r="BG224" s="6" t="s">
        <v>615</v>
      </c>
      <c r="BH224" s="6" t="s">
        <v>1393</v>
      </c>
      <c r="BI224" s="6">
        <v>0</v>
      </c>
      <c r="BJ224" s="6" t="s">
        <v>609</v>
      </c>
      <c r="BK224" s="6">
        <v>1</v>
      </c>
      <c r="BL224" s="6">
        <v>1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  <c r="BR224" s="6">
        <v>0</v>
      </c>
    </row>
    <row r="225" spans="1:70" ht="52.8" customHeight="1" x14ac:dyDescent="0.3">
      <c r="A225" s="6">
        <v>611062</v>
      </c>
      <c r="B225" s="6" t="s">
        <v>13</v>
      </c>
      <c r="C225" s="15" t="s">
        <v>1143</v>
      </c>
      <c r="D225" s="6" t="s">
        <v>64</v>
      </c>
      <c r="E225" s="6" t="s">
        <v>15</v>
      </c>
      <c r="F225" s="7">
        <v>41953</v>
      </c>
      <c r="G225" s="7">
        <v>42080</v>
      </c>
      <c r="H225" s="8" t="s">
        <v>38</v>
      </c>
      <c r="I225" s="3" t="s">
        <v>48</v>
      </c>
      <c r="J225" s="3" t="s">
        <v>18</v>
      </c>
      <c r="K225" t="s">
        <v>19</v>
      </c>
      <c r="L225" s="6" t="s">
        <v>696</v>
      </c>
      <c r="M225" s="14" t="s">
        <v>626</v>
      </c>
      <c r="N225" s="6" t="s">
        <v>657</v>
      </c>
      <c r="O225" s="6">
        <v>0</v>
      </c>
      <c r="P225" s="6" t="s">
        <v>1029</v>
      </c>
      <c r="Q225" s="35">
        <v>0</v>
      </c>
      <c r="R225" s="35">
        <v>0</v>
      </c>
      <c r="S225" s="35">
        <v>1</v>
      </c>
      <c r="T225" s="35">
        <v>0</v>
      </c>
      <c r="U225" s="35">
        <v>0</v>
      </c>
      <c r="V225" s="35">
        <v>0</v>
      </c>
      <c r="W225" s="35">
        <v>0</v>
      </c>
      <c r="X225" s="6" t="s">
        <v>657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14" t="s">
        <v>43</v>
      </c>
      <c r="AE225" s="13" t="s">
        <v>462</v>
      </c>
      <c r="AF225" s="13" t="s">
        <v>194</v>
      </c>
      <c r="AG225" s="8" t="s">
        <v>194</v>
      </c>
      <c r="AH225" s="11">
        <v>41196</v>
      </c>
      <c r="AI225" s="10">
        <v>622</v>
      </c>
      <c r="AJ225" s="12">
        <v>20</v>
      </c>
      <c r="AK225" s="12">
        <f t="shared" si="14"/>
        <v>3.215434083601286</v>
      </c>
      <c r="AL225" s="12" t="str">
        <f t="shared" si="17"/>
        <v>Até 10%</v>
      </c>
      <c r="AM225" s="6" t="s">
        <v>1144</v>
      </c>
      <c r="AN225" s="6" t="s">
        <v>1454</v>
      </c>
      <c r="AO225" s="6" t="s">
        <v>699</v>
      </c>
      <c r="AP225" s="6">
        <v>0</v>
      </c>
      <c r="AQ225" s="6" t="s">
        <v>1142</v>
      </c>
      <c r="AR225" s="6" t="s">
        <v>1399</v>
      </c>
      <c r="AS225" s="6">
        <v>1</v>
      </c>
      <c r="AT225" s="6">
        <v>0</v>
      </c>
      <c r="AU225" s="6">
        <v>0</v>
      </c>
      <c r="AV225" s="6">
        <v>0</v>
      </c>
      <c r="AW225" s="6" t="s">
        <v>686</v>
      </c>
      <c r="AX225" s="31">
        <v>1</v>
      </c>
      <c r="AY225" s="31">
        <v>0</v>
      </c>
      <c r="AZ225" s="31">
        <v>0</v>
      </c>
      <c r="BA225" s="12">
        <f t="shared" si="18"/>
        <v>12.166666666666666</v>
      </c>
      <c r="BB225" s="31">
        <v>10</v>
      </c>
      <c r="BC225" s="31">
        <v>0</v>
      </c>
      <c r="BD225" s="31">
        <v>0</v>
      </c>
      <c r="BE225" s="31">
        <v>0</v>
      </c>
      <c r="BF225" s="12">
        <f t="shared" si="16"/>
        <v>0</v>
      </c>
      <c r="BG225" s="6" t="s">
        <v>615</v>
      </c>
      <c r="BH225" s="6" t="s">
        <v>1393</v>
      </c>
      <c r="BI225" s="6">
        <v>0</v>
      </c>
      <c r="BJ225" s="6" t="s">
        <v>609</v>
      </c>
      <c r="BK225" s="6">
        <v>0</v>
      </c>
      <c r="BL225" s="6">
        <v>0</v>
      </c>
      <c r="BM225" s="6">
        <v>0</v>
      </c>
      <c r="BN225" s="6">
        <v>1</v>
      </c>
      <c r="BO225" s="6">
        <v>0</v>
      </c>
      <c r="BP225" s="6">
        <v>0</v>
      </c>
      <c r="BQ225" s="6">
        <v>0</v>
      </c>
      <c r="BR225" s="6">
        <v>0</v>
      </c>
    </row>
    <row r="226" spans="1:70" ht="52.8" customHeight="1" x14ac:dyDescent="0.3">
      <c r="A226" s="6">
        <v>1531057</v>
      </c>
      <c r="B226" s="6" t="s">
        <v>26</v>
      </c>
      <c r="C226" s="15" t="s">
        <v>311</v>
      </c>
      <c r="D226" s="6" t="s">
        <v>41</v>
      </c>
      <c r="E226" s="6" t="s">
        <v>15</v>
      </c>
      <c r="F226" s="7">
        <v>42138</v>
      </c>
      <c r="G226" s="7">
        <v>42150</v>
      </c>
      <c r="H226" s="8" t="s">
        <v>71</v>
      </c>
      <c r="I226" s="3" t="s">
        <v>17</v>
      </c>
      <c r="J226" s="3" t="s">
        <v>18</v>
      </c>
      <c r="K226" t="s">
        <v>19</v>
      </c>
      <c r="L226" s="6" t="s">
        <v>695</v>
      </c>
      <c r="M226" s="14" t="s">
        <v>724</v>
      </c>
      <c r="N226" s="6" t="s">
        <v>657</v>
      </c>
      <c r="O226" s="6">
        <v>0</v>
      </c>
      <c r="P226" s="6" t="s">
        <v>1145</v>
      </c>
      <c r="Q226" s="35">
        <v>0</v>
      </c>
      <c r="R226" s="35">
        <v>0</v>
      </c>
      <c r="S226" s="35">
        <v>1</v>
      </c>
      <c r="T226" s="35">
        <v>0</v>
      </c>
      <c r="U226" s="35">
        <v>0</v>
      </c>
      <c r="V226" s="35">
        <v>0</v>
      </c>
      <c r="W226" s="35">
        <v>0</v>
      </c>
      <c r="X226" s="6" t="s">
        <v>780</v>
      </c>
      <c r="Y226" s="6">
        <v>1</v>
      </c>
      <c r="Z226" s="6">
        <v>1</v>
      </c>
      <c r="AA226" s="6">
        <v>0</v>
      </c>
      <c r="AB226" s="6">
        <v>0</v>
      </c>
      <c r="AC226" s="6">
        <v>0</v>
      </c>
      <c r="AD226" s="14" t="s">
        <v>21</v>
      </c>
      <c r="AE226" s="13" t="s">
        <v>312</v>
      </c>
      <c r="AF226" s="13" t="s">
        <v>45</v>
      </c>
      <c r="AG226" s="8" t="s">
        <v>1357</v>
      </c>
      <c r="AH226" s="11">
        <v>40569</v>
      </c>
      <c r="AI226" s="10">
        <v>545</v>
      </c>
      <c r="AJ226" s="12">
        <v>91</v>
      </c>
      <c r="AK226" s="12">
        <f t="shared" si="14"/>
        <v>16.697247706422019</v>
      </c>
      <c r="AL226" s="12" t="str">
        <f t="shared" si="17"/>
        <v>10% a 25%</v>
      </c>
      <c r="AM226" s="6" t="s">
        <v>845</v>
      </c>
      <c r="AN226" s="6" t="s">
        <v>655</v>
      </c>
      <c r="AO226" s="6" t="s">
        <v>699</v>
      </c>
      <c r="AP226" s="6">
        <v>0</v>
      </c>
      <c r="AQ226" s="6" t="s">
        <v>777</v>
      </c>
      <c r="AR226" s="6" t="s">
        <v>1401</v>
      </c>
      <c r="AS226" s="6">
        <v>0</v>
      </c>
      <c r="AT226" s="6">
        <v>0</v>
      </c>
      <c r="AU226" s="6">
        <v>0</v>
      </c>
      <c r="AV226" s="6">
        <v>0</v>
      </c>
      <c r="AW226" s="6" t="s">
        <v>644</v>
      </c>
      <c r="AX226" s="31">
        <v>0</v>
      </c>
      <c r="AY226" s="31">
        <v>0</v>
      </c>
      <c r="AZ226" s="31">
        <v>0</v>
      </c>
      <c r="BA226" s="12">
        <f t="shared" si="18"/>
        <v>0</v>
      </c>
      <c r="BB226" s="31">
        <v>10</v>
      </c>
      <c r="BC226" s="31">
        <v>0</v>
      </c>
      <c r="BD226" s="31">
        <v>0</v>
      </c>
      <c r="BE226" s="31">
        <v>0</v>
      </c>
      <c r="BF226" s="12">
        <f t="shared" si="16"/>
        <v>0</v>
      </c>
      <c r="BG226" s="6">
        <v>0</v>
      </c>
      <c r="BH226" s="6">
        <v>0</v>
      </c>
      <c r="BI226" s="6">
        <v>0</v>
      </c>
      <c r="BJ226" s="6" t="s">
        <v>609</v>
      </c>
      <c r="BK226" s="6">
        <v>0</v>
      </c>
      <c r="BL226" s="6">
        <v>0</v>
      </c>
      <c r="BM226" s="6">
        <v>0</v>
      </c>
      <c r="BN226" s="6">
        <v>1</v>
      </c>
      <c r="BO226" s="6">
        <v>0</v>
      </c>
      <c r="BP226" s="6">
        <v>0</v>
      </c>
      <c r="BQ226" s="6">
        <v>0</v>
      </c>
      <c r="BR226" s="6">
        <v>0</v>
      </c>
    </row>
    <row r="227" spans="1:70" ht="52.8" customHeight="1" x14ac:dyDescent="0.3">
      <c r="A227" s="6">
        <v>318989</v>
      </c>
      <c r="B227" s="6" t="s">
        <v>24</v>
      </c>
      <c r="C227" s="15" t="s">
        <v>463</v>
      </c>
      <c r="D227" s="6" t="s">
        <v>41</v>
      </c>
      <c r="E227" s="6" t="s">
        <v>15</v>
      </c>
      <c r="F227" s="7">
        <v>42081</v>
      </c>
      <c r="G227" s="7">
        <v>42292</v>
      </c>
      <c r="H227" s="8" t="s">
        <v>42</v>
      </c>
      <c r="I227" s="3" t="s">
        <v>17</v>
      </c>
      <c r="J227" s="3" t="s">
        <v>18</v>
      </c>
      <c r="K227" t="s">
        <v>19</v>
      </c>
      <c r="L227" s="6" t="s">
        <v>696</v>
      </c>
      <c r="M227" s="14" t="s">
        <v>35</v>
      </c>
      <c r="N227" s="6" t="s">
        <v>657</v>
      </c>
      <c r="O227" s="6">
        <v>0</v>
      </c>
      <c r="P227" s="6" t="s">
        <v>843</v>
      </c>
      <c r="Q227" s="35">
        <v>1</v>
      </c>
      <c r="R227" s="35">
        <v>0</v>
      </c>
      <c r="S227" s="35">
        <v>1</v>
      </c>
      <c r="T227" s="35">
        <v>0</v>
      </c>
      <c r="U227" s="35">
        <v>0</v>
      </c>
      <c r="V227" s="35">
        <v>0</v>
      </c>
      <c r="W227" s="35">
        <v>0</v>
      </c>
      <c r="X227" s="6" t="s">
        <v>657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14" t="s">
        <v>43</v>
      </c>
      <c r="AE227" s="13" t="s">
        <v>464</v>
      </c>
      <c r="AF227" s="13" t="s">
        <v>45</v>
      </c>
      <c r="AG227" s="8" t="s">
        <v>1357</v>
      </c>
      <c r="AH227" s="11">
        <v>40931</v>
      </c>
      <c r="AI227" s="10">
        <v>622</v>
      </c>
      <c r="AJ227" s="12">
        <v>210</v>
      </c>
      <c r="AK227" s="12">
        <f t="shared" si="14"/>
        <v>33.762057877813504</v>
      </c>
      <c r="AL227" s="12" t="str">
        <f t="shared" si="17"/>
        <v>25% a 50%</v>
      </c>
      <c r="AM227" s="6" t="s">
        <v>1146</v>
      </c>
      <c r="AN227" s="6" t="s">
        <v>1453</v>
      </c>
      <c r="AO227" s="6" t="s">
        <v>699</v>
      </c>
      <c r="AP227" s="6">
        <v>0</v>
      </c>
      <c r="AQ227" s="6" t="s">
        <v>658</v>
      </c>
      <c r="AR227" s="6" t="s">
        <v>1399</v>
      </c>
      <c r="AS227" s="6">
        <v>0</v>
      </c>
      <c r="AT227" s="6">
        <v>0</v>
      </c>
      <c r="AU227" s="6">
        <v>0</v>
      </c>
      <c r="AV227" s="6">
        <v>0</v>
      </c>
      <c r="AW227" s="6" t="s">
        <v>686</v>
      </c>
      <c r="AX227" s="31">
        <v>1</v>
      </c>
      <c r="AY227" s="31">
        <v>0</v>
      </c>
      <c r="AZ227" s="31">
        <v>0</v>
      </c>
      <c r="BA227" s="12">
        <f t="shared" si="18"/>
        <v>12.166666666666666</v>
      </c>
      <c r="BB227" s="31">
        <v>10</v>
      </c>
      <c r="BC227" s="31">
        <v>0</v>
      </c>
      <c r="BD227" s="31">
        <v>0</v>
      </c>
      <c r="BE227" s="31">
        <v>0</v>
      </c>
      <c r="BF227" s="12">
        <f t="shared" si="16"/>
        <v>0</v>
      </c>
      <c r="BG227" s="6" t="s">
        <v>615</v>
      </c>
      <c r="BH227" s="6" t="s">
        <v>1393</v>
      </c>
      <c r="BI227" s="6">
        <v>0</v>
      </c>
      <c r="BJ227" s="6" t="s">
        <v>609</v>
      </c>
      <c r="BK227" s="6">
        <v>0</v>
      </c>
      <c r="BL227" s="6">
        <v>1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</row>
    <row r="228" spans="1:70" ht="52.8" customHeight="1" x14ac:dyDescent="0.3">
      <c r="A228" s="6">
        <v>850177</v>
      </c>
      <c r="B228" s="6" t="s">
        <v>46</v>
      </c>
      <c r="C228" s="15" t="s">
        <v>465</v>
      </c>
      <c r="D228" s="6" t="s">
        <v>14</v>
      </c>
      <c r="E228" s="6" t="s">
        <v>15</v>
      </c>
      <c r="F228" s="7">
        <v>42411</v>
      </c>
      <c r="G228" s="7">
        <v>42488</v>
      </c>
      <c r="H228" s="8" t="s">
        <v>29</v>
      </c>
      <c r="I228" s="3" t="s">
        <v>17</v>
      </c>
      <c r="J228" s="3" t="s">
        <v>18</v>
      </c>
      <c r="K228" t="s">
        <v>19</v>
      </c>
      <c r="L228" s="6" t="s">
        <v>695</v>
      </c>
      <c r="M228" s="14" t="s">
        <v>626</v>
      </c>
      <c r="N228" s="6" t="s">
        <v>657</v>
      </c>
      <c r="O228" s="6">
        <v>0</v>
      </c>
      <c r="P228" s="6" t="s">
        <v>1148</v>
      </c>
      <c r="Q228" s="35">
        <v>1</v>
      </c>
      <c r="R228" s="35">
        <v>0</v>
      </c>
      <c r="S228" s="35">
        <v>0</v>
      </c>
      <c r="T228" s="35">
        <v>1</v>
      </c>
      <c r="U228" s="35">
        <v>0</v>
      </c>
      <c r="V228" s="35">
        <v>0</v>
      </c>
      <c r="W228" s="35">
        <v>0</v>
      </c>
      <c r="X228" s="6" t="s">
        <v>801</v>
      </c>
      <c r="Y228" s="6">
        <v>1</v>
      </c>
      <c r="Z228" s="6">
        <v>0</v>
      </c>
      <c r="AA228" s="6">
        <v>0</v>
      </c>
      <c r="AB228" s="6">
        <v>1</v>
      </c>
      <c r="AC228" s="6">
        <v>0</v>
      </c>
      <c r="AD228" s="14" t="s">
        <v>21</v>
      </c>
      <c r="AE228" s="13" t="s">
        <v>466</v>
      </c>
      <c r="AF228" s="13" t="s">
        <v>23</v>
      </c>
      <c r="AG228" s="8" t="s">
        <v>1357</v>
      </c>
      <c r="AH228" s="11">
        <v>40833</v>
      </c>
      <c r="AI228" s="10">
        <v>545</v>
      </c>
      <c r="AJ228" s="12">
        <v>100</v>
      </c>
      <c r="AK228" s="12">
        <f t="shared" si="14"/>
        <v>18.348623853211009</v>
      </c>
      <c r="AL228" s="12" t="str">
        <f t="shared" si="17"/>
        <v>10% a 25%</v>
      </c>
      <c r="AM228" s="6" t="s">
        <v>1147</v>
      </c>
      <c r="AN228" s="6" t="s">
        <v>1454</v>
      </c>
      <c r="AO228" s="6" t="s">
        <v>699</v>
      </c>
      <c r="AP228" s="6">
        <v>0</v>
      </c>
      <c r="AQ228" s="6" t="s">
        <v>658</v>
      </c>
      <c r="AR228" s="6" t="s">
        <v>1399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31">
        <v>0</v>
      </c>
      <c r="AY228" s="31">
        <v>0</v>
      </c>
      <c r="AZ228" s="31">
        <v>0</v>
      </c>
      <c r="BA228" s="12">
        <f t="shared" si="18"/>
        <v>0</v>
      </c>
      <c r="BB228" s="31">
        <v>0</v>
      </c>
      <c r="BC228" s="31">
        <v>0</v>
      </c>
      <c r="BD228" s="31">
        <v>0</v>
      </c>
      <c r="BE228" s="31">
        <v>0</v>
      </c>
      <c r="BF228" s="12">
        <f t="shared" si="16"/>
        <v>0</v>
      </c>
      <c r="BG228" s="6">
        <v>0</v>
      </c>
      <c r="BH228" s="6">
        <v>0</v>
      </c>
      <c r="BI228" s="6">
        <v>0</v>
      </c>
      <c r="BJ228" s="6" t="s">
        <v>620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</row>
    <row r="229" spans="1:70" ht="52.8" customHeight="1" x14ac:dyDescent="0.3">
      <c r="A229" s="6">
        <v>557585</v>
      </c>
      <c r="B229" s="6" t="s">
        <v>46</v>
      </c>
      <c r="C229" s="15" t="s">
        <v>467</v>
      </c>
      <c r="D229" s="6" t="s">
        <v>14</v>
      </c>
      <c r="E229" s="6" t="s">
        <v>15</v>
      </c>
      <c r="F229" s="7">
        <v>41858</v>
      </c>
      <c r="G229" s="7">
        <v>42087</v>
      </c>
      <c r="H229" s="8" t="s">
        <v>118</v>
      </c>
      <c r="I229" s="3" t="s">
        <v>48</v>
      </c>
      <c r="J229" s="3" t="s">
        <v>18</v>
      </c>
      <c r="K229" t="s">
        <v>19</v>
      </c>
      <c r="L229" s="6" t="s">
        <v>696</v>
      </c>
      <c r="M229" s="14" t="s">
        <v>724</v>
      </c>
      <c r="N229" s="6" t="s">
        <v>657</v>
      </c>
      <c r="O229" s="6">
        <v>0</v>
      </c>
      <c r="P229" s="6" t="s">
        <v>1038</v>
      </c>
      <c r="Q229" s="35">
        <v>0</v>
      </c>
      <c r="R229" s="35">
        <v>0</v>
      </c>
      <c r="S229" s="35">
        <v>1</v>
      </c>
      <c r="T229" s="35">
        <v>1</v>
      </c>
      <c r="U229" s="35">
        <v>0</v>
      </c>
      <c r="V229" s="35">
        <v>0</v>
      </c>
      <c r="W229" s="35">
        <v>0</v>
      </c>
      <c r="X229" s="6" t="s">
        <v>801</v>
      </c>
      <c r="Y229" s="6">
        <v>1</v>
      </c>
      <c r="Z229" s="6">
        <v>0</v>
      </c>
      <c r="AA229" s="6">
        <v>0</v>
      </c>
      <c r="AB229" s="6">
        <v>1</v>
      </c>
      <c r="AC229" s="6">
        <v>0</v>
      </c>
      <c r="AD229" s="14" t="s">
        <v>21</v>
      </c>
      <c r="AE229" s="13" t="s">
        <v>468</v>
      </c>
      <c r="AF229" s="13" t="s">
        <v>23</v>
      </c>
      <c r="AG229" s="8" t="s">
        <v>1357</v>
      </c>
      <c r="AH229" s="11">
        <v>40860</v>
      </c>
      <c r="AI229" s="10">
        <v>545</v>
      </c>
      <c r="AJ229" s="12">
        <v>50</v>
      </c>
      <c r="AK229" s="12">
        <f t="shared" si="14"/>
        <v>9.1743119266055047</v>
      </c>
      <c r="AL229" s="12" t="str">
        <f t="shared" si="17"/>
        <v>Até 10%</v>
      </c>
      <c r="AM229" s="6" t="s">
        <v>1149</v>
      </c>
      <c r="AN229" s="6" t="s">
        <v>1454</v>
      </c>
      <c r="AO229" s="6" t="s">
        <v>699</v>
      </c>
      <c r="AP229" s="6">
        <v>0</v>
      </c>
      <c r="AQ229" s="6" t="s">
        <v>1158</v>
      </c>
      <c r="AR229" s="6" t="s">
        <v>1400</v>
      </c>
      <c r="AS229" s="6">
        <v>1</v>
      </c>
      <c r="AT229" s="6">
        <v>0</v>
      </c>
      <c r="AU229" s="6">
        <v>0</v>
      </c>
      <c r="AV229" s="6">
        <v>0</v>
      </c>
      <c r="AW229" s="6" t="s">
        <v>721</v>
      </c>
      <c r="AX229" s="31">
        <v>2</v>
      </c>
      <c r="AY229" s="31">
        <v>4</v>
      </c>
      <c r="AZ229" s="31">
        <v>0</v>
      </c>
      <c r="BA229" s="12">
        <f t="shared" si="18"/>
        <v>28.333333333333332</v>
      </c>
      <c r="BB229" s="31">
        <v>11</v>
      </c>
      <c r="BC229" s="31">
        <v>0</v>
      </c>
      <c r="BD229" s="31">
        <v>0</v>
      </c>
      <c r="BE229" s="31">
        <v>0</v>
      </c>
      <c r="BF229" s="12">
        <f t="shared" si="16"/>
        <v>0</v>
      </c>
      <c r="BG229" s="6" t="s">
        <v>615</v>
      </c>
      <c r="BH229" s="6" t="s">
        <v>1393</v>
      </c>
      <c r="BI229" s="6">
        <v>0</v>
      </c>
      <c r="BJ229" s="6" t="s">
        <v>609</v>
      </c>
      <c r="BK229" s="6">
        <v>0</v>
      </c>
      <c r="BL229" s="6">
        <v>1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</row>
    <row r="230" spans="1:70" ht="52.8" customHeight="1" x14ac:dyDescent="0.3">
      <c r="A230" s="6">
        <v>1621368</v>
      </c>
      <c r="B230" s="6" t="s">
        <v>26</v>
      </c>
      <c r="C230" s="15" t="s">
        <v>469</v>
      </c>
      <c r="D230" s="6" t="s">
        <v>33</v>
      </c>
      <c r="E230" s="6" t="s">
        <v>15</v>
      </c>
      <c r="F230" s="7">
        <v>42598</v>
      </c>
      <c r="G230" s="7">
        <v>42885</v>
      </c>
      <c r="H230" s="8" t="s">
        <v>94</v>
      </c>
      <c r="I230" s="3" t="s">
        <v>48</v>
      </c>
      <c r="J230" s="3" t="s">
        <v>18</v>
      </c>
      <c r="K230" t="s">
        <v>19</v>
      </c>
      <c r="L230" s="6" t="s">
        <v>695</v>
      </c>
      <c r="M230" s="14" t="s">
        <v>35</v>
      </c>
      <c r="N230" s="6" t="s">
        <v>657</v>
      </c>
      <c r="O230" s="6">
        <v>0</v>
      </c>
      <c r="P230" s="6" t="s">
        <v>935</v>
      </c>
      <c r="Q230" s="35">
        <v>0</v>
      </c>
      <c r="R230" s="35">
        <v>0</v>
      </c>
      <c r="S230" s="35">
        <v>0</v>
      </c>
      <c r="T230" s="35">
        <v>1</v>
      </c>
      <c r="U230" s="35">
        <v>0</v>
      </c>
      <c r="V230" s="35">
        <v>0</v>
      </c>
      <c r="W230" s="35">
        <v>0</v>
      </c>
      <c r="X230" s="6" t="s">
        <v>657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14" t="s">
        <v>21</v>
      </c>
      <c r="AE230" s="13" t="s">
        <v>470</v>
      </c>
      <c r="AF230" s="13" t="s">
        <v>36</v>
      </c>
      <c r="AG230" s="8" t="s">
        <v>1357</v>
      </c>
      <c r="AH230" s="11">
        <v>41969</v>
      </c>
      <c r="AI230" s="10">
        <v>724</v>
      </c>
      <c r="AJ230" s="12">
        <v>70</v>
      </c>
      <c r="AK230" s="12">
        <f t="shared" si="14"/>
        <v>9.6685082872928181</v>
      </c>
      <c r="AL230" s="12" t="str">
        <f t="shared" si="17"/>
        <v>Até 10%</v>
      </c>
      <c r="AM230" s="6" t="s">
        <v>1151</v>
      </c>
      <c r="AN230" s="6" t="s">
        <v>1454</v>
      </c>
      <c r="AO230" s="6" t="s">
        <v>699</v>
      </c>
      <c r="AP230" s="6">
        <v>0</v>
      </c>
      <c r="AQ230" s="6" t="s">
        <v>1418</v>
      </c>
      <c r="AR230" s="6" t="s">
        <v>1403</v>
      </c>
      <c r="AS230" s="6">
        <v>0</v>
      </c>
      <c r="AT230" s="6">
        <v>0</v>
      </c>
      <c r="AU230" s="6">
        <v>0</v>
      </c>
      <c r="AV230" s="6">
        <v>2</v>
      </c>
      <c r="AW230" s="6" t="s">
        <v>1150</v>
      </c>
      <c r="AX230" s="31">
        <v>0</v>
      </c>
      <c r="AY230" s="31">
        <v>6</v>
      </c>
      <c r="AZ230" s="31">
        <v>6</v>
      </c>
      <c r="BA230" s="12">
        <f t="shared" si="15"/>
        <v>6.2</v>
      </c>
      <c r="BB230" s="31">
        <v>3</v>
      </c>
      <c r="BC230" s="31">
        <v>0</v>
      </c>
      <c r="BD230" s="31">
        <v>3</v>
      </c>
      <c r="BE230" s="31">
        <v>0</v>
      </c>
      <c r="BF230" s="12">
        <f t="shared" si="16"/>
        <v>3</v>
      </c>
      <c r="BG230" s="6" t="s">
        <v>636</v>
      </c>
      <c r="BH230" s="6" t="s">
        <v>1394</v>
      </c>
      <c r="BI230" s="6">
        <v>1</v>
      </c>
      <c r="BJ230" s="6" t="s">
        <v>609</v>
      </c>
      <c r="BK230" s="6">
        <v>0</v>
      </c>
      <c r="BL230" s="6">
        <v>0</v>
      </c>
      <c r="BM230" s="6">
        <v>0</v>
      </c>
      <c r="BN230" s="6">
        <v>1</v>
      </c>
      <c r="BO230" s="6">
        <v>0</v>
      </c>
      <c r="BP230" s="6">
        <v>0</v>
      </c>
      <c r="BQ230" s="6">
        <v>0</v>
      </c>
      <c r="BR230" s="6">
        <v>0</v>
      </c>
    </row>
    <row r="231" spans="1:70" ht="52.8" customHeight="1" x14ac:dyDescent="0.3">
      <c r="A231" s="6">
        <v>648162</v>
      </c>
      <c r="B231" s="6" t="s">
        <v>13</v>
      </c>
      <c r="C231" s="15" t="s">
        <v>1152</v>
      </c>
      <c r="D231" s="6" t="s">
        <v>64</v>
      </c>
      <c r="E231" s="6" t="s">
        <v>15</v>
      </c>
      <c r="F231" s="7">
        <v>42038</v>
      </c>
      <c r="G231" s="7">
        <v>42131</v>
      </c>
      <c r="H231" s="8" t="s">
        <v>52</v>
      </c>
      <c r="I231" s="3" t="s">
        <v>17</v>
      </c>
      <c r="J231" s="3" t="s">
        <v>18</v>
      </c>
      <c r="K231" t="s">
        <v>19</v>
      </c>
      <c r="L231" s="6" t="s">
        <v>695</v>
      </c>
      <c r="M231" s="14" t="s">
        <v>626</v>
      </c>
      <c r="N231" s="6" t="s">
        <v>703</v>
      </c>
      <c r="O231" s="6">
        <v>1</v>
      </c>
      <c r="P231" s="6" t="s">
        <v>1069</v>
      </c>
      <c r="Q231" s="35">
        <v>1</v>
      </c>
      <c r="R231" s="35">
        <v>0</v>
      </c>
      <c r="S231" s="35">
        <v>0</v>
      </c>
      <c r="T231" s="35">
        <v>0</v>
      </c>
      <c r="U231" s="35">
        <v>0</v>
      </c>
      <c r="V231" s="35">
        <v>0</v>
      </c>
      <c r="W231" s="35">
        <v>0</v>
      </c>
      <c r="X231" s="6" t="s">
        <v>971</v>
      </c>
      <c r="Y231" s="6">
        <v>1</v>
      </c>
      <c r="Z231" s="6">
        <v>0</v>
      </c>
      <c r="AA231" s="6">
        <v>0</v>
      </c>
      <c r="AB231" s="6">
        <v>0</v>
      </c>
      <c r="AC231" s="6">
        <v>1</v>
      </c>
      <c r="AD231" s="14" t="s">
        <v>43</v>
      </c>
      <c r="AE231" s="13" t="s">
        <v>471</v>
      </c>
      <c r="AF231" s="13" t="s">
        <v>1153</v>
      </c>
      <c r="AG231" s="8" t="s">
        <v>1357</v>
      </c>
      <c r="AH231" s="11">
        <v>40556</v>
      </c>
      <c r="AI231" s="10">
        <v>545</v>
      </c>
      <c r="AJ231" s="12">
        <v>17.7</v>
      </c>
      <c r="AK231" s="12">
        <f t="shared" si="14"/>
        <v>3.2477064220183482</v>
      </c>
      <c r="AL231" s="12" t="str">
        <f t="shared" si="17"/>
        <v>Até 10%</v>
      </c>
      <c r="AM231" s="6" t="s">
        <v>989</v>
      </c>
      <c r="AN231" s="6" t="s">
        <v>1453</v>
      </c>
      <c r="AO231" s="6" t="s">
        <v>701</v>
      </c>
      <c r="AP231" s="6">
        <v>1</v>
      </c>
      <c r="AQ231" s="6" t="s">
        <v>613</v>
      </c>
      <c r="AR231" s="6" t="s">
        <v>1399</v>
      </c>
      <c r="AS231" s="6">
        <v>1</v>
      </c>
      <c r="AT231" s="6">
        <v>0</v>
      </c>
      <c r="AU231" s="6">
        <v>0</v>
      </c>
      <c r="AV231" s="6">
        <v>0</v>
      </c>
      <c r="AW231" s="6">
        <v>0</v>
      </c>
      <c r="AX231" s="31">
        <v>0</v>
      </c>
      <c r="AY231" s="31">
        <v>0</v>
      </c>
      <c r="AZ231" s="31">
        <v>0</v>
      </c>
      <c r="BA231" s="12">
        <f t="shared" si="15"/>
        <v>0</v>
      </c>
      <c r="BB231" s="31">
        <v>0</v>
      </c>
      <c r="BC231" s="31">
        <v>0</v>
      </c>
      <c r="BD231" s="31">
        <v>0</v>
      </c>
      <c r="BE231" s="31">
        <v>0</v>
      </c>
      <c r="BF231" s="12">
        <f t="shared" si="16"/>
        <v>0</v>
      </c>
      <c r="BG231" s="6">
        <v>0</v>
      </c>
      <c r="BH231" s="6">
        <v>0</v>
      </c>
      <c r="BI231" s="6">
        <v>0</v>
      </c>
      <c r="BJ231" s="6" t="s">
        <v>620</v>
      </c>
      <c r="BK231" s="6">
        <v>0</v>
      </c>
      <c r="BL231" s="6">
        <v>1</v>
      </c>
      <c r="BM231" s="6">
        <v>0</v>
      </c>
      <c r="BN231" s="6">
        <v>0</v>
      </c>
      <c r="BO231" s="6" t="s">
        <v>1154</v>
      </c>
      <c r="BP231" s="6" t="s">
        <v>1459</v>
      </c>
      <c r="BQ231" s="6" t="s">
        <v>1460</v>
      </c>
      <c r="BR231" s="6" t="s">
        <v>1459</v>
      </c>
    </row>
    <row r="232" spans="1:70" ht="52.8" customHeight="1" x14ac:dyDescent="0.3">
      <c r="A232" s="6">
        <v>301089</v>
      </c>
      <c r="B232" s="6" t="s">
        <v>24</v>
      </c>
      <c r="C232" s="15" t="s">
        <v>472</v>
      </c>
      <c r="D232" s="6" t="s">
        <v>41</v>
      </c>
      <c r="E232" s="6" t="s">
        <v>15</v>
      </c>
      <c r="F232" s="7">
        <v>41859</v>
      </c>
      <c r="G232" s="7">
        <v>41976</v>
      </c>
      <c r="H232" s="8" t="s">
        <v>77</v>
      </c>
      <c r="I232" s="3" t="s">
        <v>48</v>
      </c>
      <c r="J232" s="3" t="s">
        <v>18</v>
      </c>
      <c r="K232" t="s">
        <v>19</v>
      </c>
      <c r="L232" s="6" t="s">
        <v>696</v>
      </c>
      <c r="M232" s="14" t="s">
        <v>724</v>
      </c>
      <c r="N232" s="6" t="s">
        <v>657</v>
      </c>
      <c r="O232" s="6">
        <v>0</v>
      </c>
      <c r="P232" s="6" t="s">
        <v>763</v>
      </c>
      <c r="Q232" s="35">
        <v>0</v>
      </c>
      <c r="R232" s="35">
        <v>0</v>
      </c>
      <c r="S232" s="35">
        <v>1</v>
      </c>
      <c r="T232" s="35">
        <v>0</v>
      </c>
      <c r="U232" s="35">
        <v>0</v>
      </c>
      <c r="V232" s="35">
        <v>0</v>
      </c>
      <c r="W232" s="35">
        <v>0</v>
      </c>
      <c r="X232" s="6" t="s">
        <v>801</v>
      </c>
      <c r="Y232" s="6">
        <v>1</v>
      </c>
      <c r="Z232" s="6">
        <v>0</v>
      </c>
      <c r="AA232" s="6">
        <v>0</v>
      </c>
      <c r="AB232" s="6">
        <v>1</v>
      </c>
      <c r="AC232" s="6">
        <v>0</v>
      </c>
      <c r="AD232" s="14" t="s">
        <v>21</v>
      </c>
      <c r="AE232" s="13" t="s">
        <v>473</v>
      </c>
      <c r="AF232" s="13" t="s">
        <v>45</v>
      </c>
      <c r="AG232" s="8" t="s">
        <v>1357</v>
      </c>
      <c r="AH232" s="11">
        <v>41529</v>
      </c>
      <c r="AI232" s="10">
        <v>678</v>
      </c>
      <c r="AJ232" s="12">
        <v>94.9</v>
      </c>
      <c r="AK232" s="12">
        <f t="shared" si="14"/>
        <v>13.997050147492626</v>
      </c>
      <c r="AL232" s="12" t="str">
        <f t="shared" si="17"/>
        <v>10% a 25%</v>
      </c>
      <c r="AM232" s="6" t="s">
        <v>989</v>
      </c>
      <c r="AN232" s="6" t="s">
        <v>1453</v>
      </c>
      <c r="AO232" s="6" t="s">
        <v>699</v>
      </c>
      <c r="AP232" s="6">
        <v>0</v>
      </c>
      <c r="AQ232" s="6" t="s">
        <v>658</v>
      </c>
      <c r="AR232" s="6" t="s">
        <v>1399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31">
        <v>0</v>
      </c>
      <c r="AY232" s="31">
        <v>0</v>
      </c>
      <c r="AZ232" s="31">
        <v>0</v>
      </c>
      <c r="BA232" s="12">
        <f t="shared" si="15"/>
        <v>0</v>
      </c>
      <c r="BB232" s="31">
        <v>0</v>
      </c>
      <c r="BC232" s="31">
        <v>0</v>
      </c>
      <c r="BD232" s="31">
        <v>0</v>
      </c>
      <c r="BE232" s="31">
        <v>0</v>
      </c>
      <c r="BF232" s="12">
        <f t="shared" si="16"/>
        <v>0</v>
      </c>
      <c r="BG232" s="6">
        <v>0</v>
      </c>
      <c r="BH232" s="6">
        <v>0</v>
      </c>
      <c r="BI232" s="6">
        <v>0</v>
      </c>
      <c r="BJ232" s="6" t="s">
        <v>620</v>
      </c>
      <c r="BK232" s="6">
        <v>0</v>
      </c>
      <c r="BL232" s="6">
        <v>1</v>
      </c>
      <c r="BM232" s="6">
        <v>1</v>
      </c>
      <c r="BN232" s="6">
        <v>0</v>
      </c>
      <c r="BO232" s="6" t="s">
        <v>1134</v>
      </c>
      <c r="BP232" s="6" t="s">
        <v>1459</v>
      </c>
      <c r="BQ232" s="6" t="s">
        <v>1460</v>
      </c>
      <c r="BR232" s="6" t="s">
        <v>1460</v>
      </c>
    </row>
    <row r="233" spans="1:70" ht="52.8" customHeight="1" x14ac:dyDescent="0.3">
      <c r="A233" s="6">
        <v>322155</v>
      </c>
      <c r="B233" s="6" t="s">
        <v>13</v>
      </c>
      <c r="C233" s="15" t="s">
        <v>1155</v>
      </c>
      <c r="D233" s="6" t="s">
        <v>106</v>
      </c>
      <c r="E233" s="6" t="s">
        <v>15</v>
      </c>
      <c r="F233" s="7">
        <v>42118</v>
      </c>
      <c r="G233" s="7">
        <v>42845</v>
      </c>
      <c r="H233" s="8" t="s">
        <v>52</v>
      </c>
      <c r="I233" s="3" t="s">
        <v>48</v>
      </c>
      <c r="J233" s="3" t="s">
        <v>18</v>
      </c>
      <c r="K233" t="s">
        <v>19</v>
      </c>
      <c r="L233" s="6" t="s">
        <v>695</v>
      </c>
      <c r="M233" s="14" t="s">
        <v>626</v>
      </c>
      <c r="N233" s="6" t="s">
        <v>657</v>
      </c>
      <c r="O233" s="6">
        <v>0</v>
      </c>
      <c r="P233" s="6" t="s">
        <v>1157</v>
      </c>
      <c r="Q233" s="35">
        <v>1</v>
      </c>
      <c r="R233" s="35">
        <v>0</v>
      </c>
      <c r="S233" s="35">
        <v>1</v>
      </c>
      <c r="T233" s="35">
        <v>1</v>
      </c>
      <c r="U233" s="35">
        <v>0</v>
      </c>
      <c r="V233" s="35">
        <v>0</v>
      </c>
      <c r="W233" s="35">
        <v>0</v>
      </c>
      <c r="X233" s="6" t="s">
        <v>860</v>
      </c>
      <c r="Y233" s="6">
        <v>1</v>
      </c>
      <c r="Z233" s="6">
        <v>1</v>
      </c>
      <c r="AA233" s="6">
        <v>1</v>
      </c>
      <c r="AB233" s="6">
        <v>1</v>
      </c>
      <c r="AC233" s="6">
        <v>1</v>
      </c>
      <c r="AD233" s="14" t="s">
        <v>43</v>
      </c>
      <c r="AE233" s="13" t="s">
        <v>474</v>
      </c>
      <c r="AF233" s="13" t="s">
        <v>108</v>
      </c>
      <c r="AG233" s="8" t="s">
        <v>1357</v>
      </c>
      <c r="AH233" s="11">
        <v>40841</v>
      </c>
      <c r="AI233" s="10">
        <v>545</v>
      </c>
      <c r="AJ233" s="12">
        <v>200</v>
      </c>
      <c r="AK233" s="12">
        <f t="shared" si="14"/>
        <v>36.697247706422019</v>
      </c>
      <c r="AL233" s="12" t="str">
        <f t="shared" si="17"/>
        <v>25% a 50%</v>
      </c>
      <c r="AM233" s="6" t="s">
        <v>1156</v>
      </c>
      <c r="AN233" s="6" t="s">
        <v>618</v>
      </c>
      <c r="AO233" s="6" t="s">
        <v>701</v>
      </c>
      <c r="AP233" s="6">
        <v>1</v>
      </c>
      <c r="AQ233" s="6" t="s">
        <v>1159</v>
      </c>
      <c r="AR233" s="6" t="s">
        <v>1403</v>
      </c>
      <c r="AS233" s="6">
        <v>1</v>
      </c>
      <c r="AT233" s="6">
        <v>0</v>
      </c>
      <c r="AU233" s="6">
        <v>0</v>
      </c>
      <c r="AV233" s="6">
        <v>0</v>
      </c>
      <c r="AW233" s="6" t="s">
        <v>1160</v>
      </c>
      <c r="AX233" s="31">
        <v>0</v>
      </c>
      <c r="AY233" s="31">
        <v>0</v>
      </c>
      <c r="AZ233" s="31">
        <v>0</v>
      </c>
      <c r="BA233" s="12">
        <f t="shared" si="15"/>
        <v>0</v>
      </c>
      <c r="BB233" s="31">
        <v>17</v>
      </c>
      <c r="BC233" s="31">
        <v>2</v>
      </c>
      <c r="BD233" s="31">
        <v>6</v>
      </c>
      <c r="BE233" s="31">
        <v>0</v>
      </c>
      <c r="BF233" s="12">
        <f t="shared" si="16"/>
        <v>30.333333333333332</v>
      </c>
      <c r="BG233" s="6" t="s">
        <v>636</v>
      </c>
      <c r="BH233" s="6" t="s">
        <v>1394</v>
      </c>
      <c r="BI233" s="6">
        <v>1</v>
      </c>
      <c r="BJ233" s="6" t="s">
        <v>609</v>
      </c>
      <c r="BK233" s="6">
        <v>0</v>
      </c>
      <c r="BL233" s="6">
        <v>0</v>
      </c>
      <c r="BM233" s="6">
        <v>0</v>
      </c>
      <c r="BN233" s="6">
        <v>1</v>
      </c>
      <c r="BO233" s="6">
        <v>0</v>
      </c>
      <c r="BP233" s="6">
        <v>0</v>
      </c>
      <c r="BQ233" s="6">
        <v>0</v>
      </c>
      <c r="BR233" s="6">
        <v>0</v>
      </c>
    </row>
    <row r="234" spans="1:70" ht="52.8" customHeight="1" x14ac:dyDescent="0.3">
      <c r="A234" s="6">
        <v>338164</v>
      </c>
      <c r="B234" s="6" t="s">
        <v>24</v>
      </c>
      <c r="C234" s="15" t="s">
        <v>475</v>
      </c>
      <c r="D234" s="6" t="s">
        <v>106</v>
      </c>
      <c r="E234" s="6" t="s">
        <v>15</v>
      </c>
      <c r="F234" s="7">
        <v>42279</v>
      </c>
      <c r="G234" s="7">
        <v>42447</v>
      </c>
      <c r="H234" s="8" t="s">
        <v>52</v>
      </c>
      <c r="I234" s="3" t="s">
        <v>17</v>
      </c>
      <c r="J234" s="3" t="s">
        <v>18</v>
      </c>
      <c r="K234" t="s">
        <v>19</v>
      </c>
      <c r="L234" s="6" t="s">
        <v>695</v>
      </c>
      <c r="M234" s="14" t="s">
        <v>724</v>
      </c>
      <c r="N234" s="6" t="s">
        <v>657</v>
      </c>
      <c r="O234" s="6">
        <v>0</v>
      </c>
      <c r="P234" s="6" t="s">
        <v>1163</v>
      </c>
      <c r="Q234" s="35">
        <v>1</v>
      </c>
      <c r="R234" s="35">
        <v>0</v>
      </c>
      <c r="S234" s="35">
        <v>1</v>
      </c>
      <c r="T234" s="35">
        <v>0</v>
      </c>
      <c r="U234" s="35">
        <v>0</v>
      </c>
      <c r="V234" s="35">
        <v>0</v>
      </c>
      <c r="W234" s="35">
        <v>0</v>
      </c>
      <c r="X234" s="6" t="s">
        <v>1002</v>
      </c>
      <c r="Y234" s="6">
        <v>1</v>
      </c>
      <c r="Z234" s="6">
        <v>0</v>
      </c>
      <c r="AA234" s="6">
        <v>0</v>
      </c>
      <c r="AB234" s="6">
        <v>1</v>
      </c>
      <c r="AC234" s="6">
        <v>1</v>
      </c>
      <c r="AD234" s="14" t="s">
        <v>21</v>
      </c>
      <c r="AE234" s="13" t="s">
        <v>476</v>
      </c>
      <c r="AF234" s="13" t="s">
        <v>108</v>
      </c>
      <c r="AG234" s="8" t="s">
        <v>1357</v>
      </c>
      <c r="AH234" s="11">
        <v>40620</v>
      </c>
      <c r="AI234" s="10">
        <v>545</v>
      </c>
      <c r="AJ234" s="12">
        <v>450</v>
      </c>
      <c r="AK234" s="12">
        <f t="shared" si="14"/>
        <v>82.568807339449549</v>
      </c>
      <c r="AL234" s="12" t="str">
        <f t="shared" si="17"/>
        <v>Acima de 50%</v>
      </c>
      <c r="AM234" s="6" t="s">
        <v>1161</v>
      </c>
      <c r="AN234" s="6" t="s">
        <v>618</v>
      </c>
      <c r="AO234" s="6" t="s">
        <v>701</v>
      </c>
      <c r="AP234" s="6">
        <v>1</v>
      </c>
      <c r="AQ234" s="6" t="s">
        <v>658</v>
      </c>
      <c r="AR234" s="6" t="s">
        <v>1399</v>
      </c>
      <c r="AS234" s="6">
        <v>0</v>
      </c>
      <c r="AT234" s="6">
        <v>0</v>
      </c>
      <c r="AU234" s="6">
        <v>0</v>
      </c>
      <c r="AV234" s="6">
        <v>0</v>
      </c>
      <c r="AW234" s="6" t="s">
        <v>1162</v>
      </c>
      <c r="AX234" s="31">
        <v>0</v>
      </c>
      <c r="AY234" s="31">
        <v>10</v>
      </c>
      <c r="AZ234" s="31">
        <v>0</v>
      </c>
      <c r="BA234" s="12">
        <f t="shared" si="15"/>
        <v>10</v>
      </c>
      <c r="BB234" s="31">
        <v>19</v>
      </c>
      <c r="BC234" s="31">
        <v>0</v>
      </c>
      <c r="BD234" s="31">
        <v>0</v>
      </c>
      <c r="BE234" s="31">
        <v>0</v>
      </c>
      <c r="BF234" s="12">
        <f t="shared" si="16"/>
        <v>0</v>
      </c>
      <c r="BG234" s="6" t="s">
        <v>615</v>
      </c>
      <c r="BH234" s="6" t="s">
        <v>1393</v>
      </c>
      <c r="BI234" s="6">
        <v>0</v>
      </c>
      <c r="BJ234" s="6" t="s">
        <v>609</v>
      </c>
      <c r="BK234" s="6">
        <v>1</v>
      </c>
      <c r="BL234" s="6">
        <v>1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</row>
    <row r="235" spans="1:70" ht="52.8" customHeight="1" x14ac:dyDescent="0.3">
      <c r="A235" s="6">
        <v>685926</v>
      </c>
      <c r="B235" s="6" t="s">
        <v>46</v>
      </c>
      <c r="C235" s="15" t="s">
        <v>477</v>
      </c>
      <c r="D235" s="6" t="s">
        <v>64</v>
      </c>
      <c r="E235" s="6" t="s">
        <v>15</v>
      </c>
      <c r="F235" s="7">
        <v>42109</v>
      </c>
      <c r="G235" s="7">
        <v>42167</v>
      </c>
      <c r="H235" s="8" t="s">
        <v>118</v>
      </c>
      <c r="I235" s="3" t="s">
        <v>17</v>
      </c>
      <c r="J235" s="3" t="s">
        <v>18</v>
      </c>
      <c r="K235" t="s">
        <v>19</v>
      </c>
      <c r="L235" s="6" t="s">
        <v>696</v>
      </c>
      <c r="M235" s="14" t="s">
        <v>724</v>
      </c>
      <c r="N235" s="6" t="s">
        <v>657</v>
      </c>
      <c r="O235" s="6">
        <v>0</v>
      </c>
      <c r="P235" s="6" t="s">
        <v>1164</v>
      </c>
      <c r="Q235" s="35">
        <v>0</v>
      </c>
      <c r="R235" s="35">
        <v>0</v>
      </c>
      <c r="S235" s="35">
        <v>1</v>
      </c>
      <c r="T235" s="35">
        <v>0</v>
      </c>
      <c r="U235" s="35">
        <v>0</v>
      </c>
      <c r="V235" s="35">
        <v>0</v>
      </c>
      <c r="W235" s="35">
        <v>0</v>
      </c>
      <c r="X235" s="6" t="s">
        <v>801</v>
      </c>
      <c r="Y235" s="6">
        <v>1</v>
      </c>
      <c r="Z235" s="6">
        <v>0</v>
      </c>
      <c r="AA235" s="6">
        <v>0</v>
      </c>
      <c r="AB235" s="6">
        <v>1</v>
      </c>
      <c r="AC235" s="6">
        <v>0</v>
      </c>
      <c r="AD235" s="14" t="s">
        <v>21</v>
      </c>
      <c r="AE235" s="13" t="s">
        <v>478</v>
      </c>
      <c r="AF235" s="13" t="s">
        <v>66</v>
      </c>
      <c r="AG235" s="8" t="s">
        <v>1357</v>
      </c>
      <c r="AH235" s="11">
        <v>41080</v>
      </c>
      <c r="AI235" s="10">
        <v>622</v>
      </c>
      <c r="AJ235" s="12">
        <v>200</v>
      </c>
      <c r="AK235" s="12">
        <f t="shared" si="14"/>
        <v>32.154340836012864</v>
      </c>
      <c r="AL235" s="12" t="str">
        <f t="shared" si="17"/>
        <v>25% a 50%</v>
      </c>
      <c r="AM235" s="6" t="s">
        <v>737</v>
      </c>
      <c r="AN235" s="6" t="s">
        <v>1454</v>
      </c>
      <c r="AO235" s="6" t="s">
        <v>699</v>
      </c>
      <c r="AP235" s="6">
        <v>0</v>
      </c>
      <c r="AQ235" s="6" t="s">
        <v>785</v>
      </c>
      <c r="AR235" s="6" t="s">
        <v>1401</v>
      </c>
      <c r="AS235" s="6">
        <v>1</v>
      </c>
      <c r="AT235" s="6">
        <v>0</v>
      </c>
      <c r="AU235" s="6">
        <v>0</v>
      </c>
      <c r="AV235" s="6">
        <v>0</v>
      </c>
      <c r="AW235" s="6" t="s">
        <v>802</v>
      </c>
      <c r="AX235" s="31">
        <v>0</v>
      </c>
      <c r="AY235" s="31">
        <v>6</v>
      </c>
      <c r="AZ235" s="31">
        <v>0</v>
      </c>
      <c r="BA235" s="12">
        <f t="shared" si="15"/>
        <v>6</v>
      </c>
      <c r="BB235" s="31">
        <v>5</v>
      </c>
      <c r="BC235" s="31">
        <v>0</v>
      </c>
      <c r="BD235" s="31">
        <v>0</v>
      </c>
      <c r="BE235" s="31">
        <v>0</v>
      </c>
      <c r="BF235" s="12">
        <f t="shared" si="16"/>
        <v>0</v>
      </c>
      <c r="BG235" s="6" t="s">
        <v>636</v>
      </c>
      <c r="BH235" s="6" t="s">
        <v>1394</v>
      </c>
      <c r="BI235" s="6">
        <v>1</v>
      </c>
      <c r="BJ235" s="6" t="s">
        <v>609</v>
      </c>
      <c r="BK235" s="6">
        <v>0</v>
      </c>
      <c r="BL235" s="6">
        <v>0</v>
      </c>
      <c r="BM235" s="6">
        <v>0</v>
      </c>
      <c r="BN235" s="6">
        <v>1</v>
      </c>
      <c r="BO235" s="6">
        <v>0</v>
      </c>
      <c r="BP235" s="6">
        <v>0</v>
      </c>
      <c r="BQ235" s="6">
        <v>0</v>
      </c>
      <c r="BR235" s="6">
        <v>0</v>
      </c>
    </row>
    <row r="236" spans="1:70" ht="52.8" customHeight="1" x14ac:dyDescent="0.3">
      <c r="A236" s="6">
        <v>974142</v>
      </c>
      <c r="B236" s="6" t="s">
        <v>46</v>
      </c>
      <c r="C236" s="15" t="s">
        <v>479</v>
      </c>
      <c r="D236" s="6" t="s">
        <v>64</v>
      </c>
      <c r="E236" s="6" t="s">
        <v>15</v>
      </c>
      <c r="F236" s="7">
        <v>42604</v>
      </c>
      <c r="G236" s="7">
        <v>42667</v>
      </c>
      <c r="H236" s="8" t="s">
        <v>52</v>
      </c>
      <c r="I236" s="3" t="s">
        <v>17</v>
      </c>
      <c r="J236" s="3" t="s">
        <v>18</v>
      </c>
      <c r="K236" t="s">
        <v>19</v>
      </c>
      <c r="L236" s="6" t="s">
        <v>695</v>
      </c>
      <c r="M236" s="14" t="s">
        <v>626</v>
      </c>
      <c r="N236" s="6" t="s">
        <v>657</v>
      </c>
      <c r="O236" s="6">
        <v>0</v>
      </c>
      <c r="P236" s="6" t="s">
        <v>1163</v>
      </c>
      <c r="Q236" s="35">
        <v>1</v>
      </c>
      <c r="R236" s="35">
        <v>0</v>
      </c>
      <c r="S236" s="35">
        <v>1</v>
      </c>
      <c r="T236" s="35">
        <v>0</v>
      </c>
      <c r="U236" s="35">
        <v>0</v>
      </c>
      <c r="V236" s="35">
        <v>0</v>
      </c>
      <c r="W236" s="35">
        <v>0</v>
      </c>
      <c r="X236" s="6" t="s">
        <v>657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14" t="s">
        <v>21</v>
      </c>
      <c r="AE236" s="13" t="s">
        <v>480</v>
      </c>
      <c r="AF236" s="13" t="s">
        <v>66</v>
      </c>
      <c r="AG236" s="8" t="s">
        <v>1357</v>
      </c>
      <c r="AH236" s="11">
        <v>40554</v>
      </c>
      <c r="AI236" s="10">
        <v>545</v>
      </c>
      <c r="AJ236" s="12">
        <v>230</v>
      </c>
      <c r="AK236" s="12">
        <f t="shared" si="14"/>
        <v>42.201834862385326</v>
      </c>
      <c r="AL236" s="12" t="str">
        <f t="shared" si="17"/>
        <v>25% a 50%</v>
      </c>
      <c r="AM236" s="6" t="s">
        <v>1166</v>
      </c>
      <c r="AN236" s="6" t="s">
        <v>1454</v>
      </c>
      <c r="AO236" s="6" t="s">
        <v>699</v>
      </c>
      <c r="AP236" s="6">
        <v>0</v>
      </c>
      <c r="AQ236" s="6" t="s">
        <v>613</v>
      </c>
      <c r="AR236" s="6" t="s">
        <v>1399</v>
      </c>
      <c r="AS236" s="6">
        <v>1</v>
      </c>
      <c r="AT236" s="6">
        <v>0</v>
      </c>
      <c r="AU236" s="6">
        <v>0</v>
      </c>
      <c r="AV236" s="6">
        <v>0</v>
      </c>
      <c r="AW236" s="6" t="s">
        <v>1165</v>
      </c>
      <c r="AX236" s="31">
        <v>1</v>
      </c>
      <c r="AY236" s="31">
        <v>5</v>
      </c>
      <c r="AZ236" s="31">
        <v>0</v>
      </c>
      <c r="BA236" s="12">
        <f t="shared" si="15"/>
        <v>17.166666666666668</v>
      </c>
      <c r="BB236" s="31">
        <v>15</v>
      </c>
      <c r="BC236" s="31">
        <v>0</v>
      </c>
      <c r="BD236" s="31">
        <v>0</v>
      </c>
      <c r="BE236" s="31">
        <v>0</v>
      </c>
      <c r="BF236" s="12">
        <f t="shared" si="16"/>
        <v>0</v>
      </c>
      <c r="BG236" s="6" t="s">
        <v>615</v>
      </c>
      <c r="BH236" s="6" t="s">
        <v>1393</v>
      </c>
      <c r="BI236" s="6">
        <v>0</v>
      </c>
      <c r="BJ236" s="6" t="s">
        <v>609</v>
      </c>
      <c r="BK236" s="6">
        <v>1</v>
      </c>
      <c r="BL236" s="6">
        <v>1</v>
      </c>
      <c r="BM236" s="6">
        <v>0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</row>
    <row r="237" spans="1:70" ht="52.8" customHeight="1" x14ac:dyDescent="0.3">
      <c r="A237" s="6">
        <v>685472</v>
      </c>
      <c r="B237" s="6" t="s">
        <v>46</v>
      </c>
      <c r="C237" s="15" t="s">
        <v>481</v>
      </c>
      <c r="D237" s="6" t="s">
        <v>285</v>
      </c>
      <c r="E237" s="6" t="s">
        <v>15</v>
      </c>
      <c r="F237" s="7">
        <v>42109</v>
      </c>
      <c r="G237" s="7">
        <v>42128</v>
      </c>
      <c r="H237" s="8" t="s">
        <v>71</v>
      </c>
      <c r="I237" s="3" t="s">
        <v>48</v>
      </c>
      <c r="J237" s="3" t="s">
        <v>18</v>
      </c>
      <c r="K237" t="s">
        <v>19</v>
      </c>
      <c r="L237" s="6" t="s">
        <v>695</v>
      </c>
      <c r="M237" s="14" t="s">
        <v>626</v>
      </c>
      <c r="N237" s="6" t="s">
        <v>657</v>
      </c>
      <c r="O237" s="6">
        <v>0</v>
      </c>
      <c r="P237" s="6" t="s">
        <v>935</v>
      </c>
      <c r="Q237" s="35">
        <v>0</v>
      </c>
      <c r="R237" s="35">
        <v>0</v>
      </c>
      <c r="S237" s="35">
        <v>0</v>
      </c>
      <c r="T237" s="35">
        <v>1</v>
      </c>
      <c r="U237" s="35">
        <v>0</v>
      </c>
      <c r="V237" s="35">
        <v>0</v>
      </c>
      <c r="W237" s="35">
        <v>0</v>
      </c>
      <c r="X237" s="6" t="s">
        <v>801</v>
      </c>
      <c r="Y237" s="6">
        <v>1</v>
      </c>
      <c r="Z237" s="6">
        <v>0</v>
      </c>
      <c r="AA237" s="6">
        <v>0</v>
      </c>
      <c r="AB237" s="6">
        <v>1</v>
      </c>
      <c r="AC237" s="6">
        <v>0</v>
      </c>
      <c r="AD237" s="14" t="s">
        <v>21</v>
      </c>
      <c r="AE237" s="13" t="s">
        <v>482</v>
      </c>
      <c r="AF237" s="13" t="s">
        <v>380</v>
      </c>
      <c r="AG237" s="8" t="s">
        <v>1357</v>
      </c>
      <c r="AH237" s="11">
        <v>41357</v>
      </c>
      <c r="AI237" s="10">
        <v>678</v>
      </c>
      <c r="AJ237" s="12">
        <v>0</v>
      </c>
      <c r="AK237" s="12">
        <f t="shared" si="14"/>
        <v>0</v>
      </c>
      <c r="AL237" s="12" t="str">
        <f t="shared" si="17"/>
        <v>Não Informado</v>
      </c>
      <c r="AM237" s="6" t="s">
        <v>737</v>
      </c>
      <c r="AN237" s="6" t="s">
        <v>1454</v>
      </c>
      <c r="AO237" s="6" t="s">
        <v>699</v>
      </c>
      <c r="AP237" s="6">
        <v>0</v>
      </c>
      <c r="AQ237" s="6" t="s">
        <v>1167</v>
      </c>
      <c r="AR237" s="6" t="s">
        <v>1403</v>
      </c>
      <c r="AS237" s="6">
        <v>1</v>
      </c>
      <c r="AT237" s="6">
        <v>0</v>
      </c>
      <c r="AU237" s="6">
        <v>0</v>
      </c>
      <c r="AV237" s="6">
        <v>0</v>
      </c>
      <c r="AW237" s="6" t="s">
        <v>686</v>
      </c>
      <c r="AX237" s="31">
        <v>1</v>
      </c>
      <c r="AY237" s="31">
        <v>0</v>
      </c>
      <c r="AZ237" s="31">
        <v>0</v>
      </c>
      <c r="BA237" s="12">
        <f t="shared" si="15"/>
        <v>12.166666666666666</v>
      </c>
      <c r="BB237" s="31">
        <v>10</v>
      </c>
      <c r="BC237" s="31">
        <v>0</v>
      </c>
      <c r="BD237" s="31">
        <v>0</v>
      </c>
      <c r="BE237" s="31">
        <v>0</v>
      </c>
      <c r="BF237" s="12">
        <f t="shared" si="16"/>
        <v>0</v>
      </c>
      <c r="BG237" s="6" t="s">
        <v>636</v>
      </c>
      <c r="BH237" s="6" t="s">
        <v>1394</v>
      </c>
      <c r="BI237" s="6">
        <v>1</v>
      </c>
      <c r="BJ237" s="6" t="s">
        <v>609</v>
      </c>
      <c r="BK237" s="6">
        <v>0</v>
      </c>
      <c r="BL237" s="6">
        <v>0</v>
      </c>
      <c r="BM237" s="6">
        <v>0</v>
      </c>
      <c r="BN237" s="6">
        <v>1</v>
      </c>
      <c r="BO237" s="6">
        <v>0</v>
      </c>
      <c r="BP237" s="6">
        <v>0</v>
      </c>
      <c r="BQ237" s="6">
        <v>0</v>
      </c>
      <c r="BR237" s="6">
        <v>0</v>
      </c>
    </row>
    <row r="238" spans="1:70" ht="52.8" customHeight="1" x14ac:dyDescent="0.3">
      <c r="A238" s="6">
        <v>574603</v>
      </c>
      <c r="B238" s="6" t="s">
        <v>46</v>
      </c>
      <c r="C238" s="15" t="s">
        <v>483</v>
      </c>
      <c r="D238" s="6" t="s">
        <v>55</v>
      </c>
      <c r="E238" s="6" t="s">
        <v>15</v>
      </c>
      <c r="F238" s="7">
        <v>41887</v>
      </c>
      <c r="G238" s="7">
        <v>41975</v>
      </c>
      <c r="H238" s="8" t="s">
        <v>71</v>
      </c>
      <c r="I238" s="3" t="s">
        <v>48</v>
      </c>
      <c r="J238" s="3" t="s">
        <v>18</v>
      </c>
      <c r="K238" t="s">
        <v>19</v>
      </c>
      <c r="L238" s="6" t="s">
        <v>695</v>
      </c>
      <c r="M238" s="14" t="s">
        <v>626</v>
      </c>
      <c r="N238" s="6" t="s">
        <v>657</v>
      </c>
      <c r="O238" s="6">
        <v>0</v>
      </c>
      <c r="P238" s="6" t="s">
        <v>735</v>
      </c>
      <c r="Q238" s="35">
        <v>1</v>
      </c>
      <c r="R238" s="35">
        <v>0</v>
      </c>
      <c r="S238" s="35">
        <v>0</v>
      </c>
      <c r="T238" s="35">
        <v>0</v>
      </c>
      <c r="U238" s="35">
        <v>0</v>
      </c>
      <c r="V238" s="35">
        <v>0</v>
      </c>
      <c r="W238" s="35">
        <v>0</v>
      </c>
      <c r="X238" s="6" t="s">
        <v>657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14" t="s">
        <v>21</v>
      </c>
      <c r="AE238" s="13" t="s">
        <v>484</v>
      </c>
      <c r="AF238" s="13" t="s">
        <v>1169</v>
      </c>
      <c r="AG238" s="8" t="s">
        <v>1348</v>
      </c>
      <c r="AH238" s="11">
        <v>41246</v>
      </c>
      <c r="AI238" s="10">
        <v>622</v>
      </c>
      <c r="AJ238" s="12">
        <v>574.14</v>
      </c>
      <c r="AK238" s="12">
        <f t="shared" si="14"/>
        <v>92.305466237942127</v>
      </c>
      <c r="AL238" s="12" t="str">
        <f t="shared" si="17"/>
        <v>Acima de 50%</v>
      </c>
      <c r="AM238" s="6" t="s">
        <v>1170</v>
      </c>
      <c r="AN238" s="6" t="s">
        <v>1455</v>
      </c>
      <c r="AO238" s="6" t="s">
        <v>699</v>
      </c>
      <c r="AP238" s="6">
        <v>0</v>
      </c>
      <c r="AQ238" s="6" t="s">
        <v>667</v>
      </c>
      <c r="AR238" s="6" t="s">
        <v>1400</v>
      </c>
      <c r="AS238" s="6">
        <v>0</v>
      </c>
      <c r="AT238" s="6">
        <v>0</v>
      </c>
      <c r="AU238" s="6">
        <v>0</v>
      </c>
      <c r="AV238" s="6">
        <v>0</v>
      </c>
      <c r="AW238" s="6" t="s">
        <v>1074</v>
      </c>
      <c r="AX238" s="31">
        <v>1</v>
      </c>
      <c r="AY238" s="31">
        <v>4</v>
      </c>
      <c r="AZ238" s="31">
        <v>0</v>
      </c>
      <c r="BA238" s="12">
        <f t="shared" si="15"/>
        <v>16.166666666666668</v>
      </c>
      <c r="BB238" s="31">
        <v>6</v>
      </c>
      <c r="BC238" s="31">
        <v>0</v>
      </c>
      <c r="BD238" s="31">
        <v>0</v>
      </c>
      <c r="BE238" s="31">
        <v>0</v>
      </c>
      <c r="BF238" s="12">
        <f t="shared" si="16"/>
        <v>0</v>
      </c>
      <c r="BG238" s="6" t="s">
        <v>636</v>
      </c>
      <c r="BH238" s="6" t="s">
        <v>1394</v>
      </c>
      <c r="BI238" s="6">
        <v>1</v>
      </c>
      <c r="BJ238" s="6" t="s">
        <v>609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</row>
    <row r="239" spans="1:70" ht="52.8" customHeight="1" x14ac:dyDescent="0.3">
      <c r="A239" s="6">
        <v>1484438</v>
      </c>
      <c r="B239" s="6" t="s">
        <v>26</v>
      </c>
      <c r="C239" s="15" t="s">
        <v>485</v>
      </c>
      <c r="D239" s="6" t="s">
        <v>64</v>
      </c>
      <c r="E239" s="6" t="s">
        <v>15</v>
      </c>
      <c r="F239" s="7">
        <v>41915</v>
      </c>
      <c r="G239" s="7">
        <v>42487</v>
      </c>
      <c r="H239" s="8" t="s">
        <v>29</v>
      </c>
      <c r="I239" s="3" t="s">
        <v>17</v>
      </c>
      <c r="J239" s="3" t="s">
        <v>18</v>
      </c>
      <c r="K239" t="s">
        <v>19</v>
      </c>
      <c r="L239" s="6" t="s">
        <v>695</v>
      </c>
      <c r="M239" s="14" t="s">
        <v>1014</v>
      </c>
      <c r="N239" s="6" t="s">
        <v>703</v>
      </c>
      <c r="O239" s="6">
        <v>1</v>
      </c>
      <c r="P239" s="6" t="s">
        <v>735</v>
      </c>
      <c r="Q239" s="35">
        <v>1</v>
      </c>
      <c r="R239" s="35">
        <v>0</v>
      </c>
      <c r="S239" s="35">
        <v>0</v>
      </c>
      <c r="T239" s="35">
        <v>0</v>
      </c>
      <c r="U239" s="35">
        <v>0</v>
      </c>
      <c r="V239" s="35">
        <v>0</v>
      </c>
      <c r="W239" s="35">
        <v>0</v>
      </c>
      <c r="X239" s="6" t="s">
        <v>860</v>
      </c>
      <c r="Y239" s="6">
        <v>1</v>
      </c>
      <c r="Z239" s="6">
        <v>1</v>
      </c>
      <c r="AA239" s="6">
        <v>1</v>
      </c>
      <c r="AB239" s="6">
        <v>1</v>
      </c>
      <c r="AC239" s="6">
        <v>1</v>
      </c>
      <c r="AD239" s="14" t="s">
        <v>21</v>
      </c>
      <c r="AE239" s="13" t="s">
        <v>486</v>
      </c>
      <c r="AF239" s="13" t="s">
        <v>66</v>
      </c>
      <c r="AG239" s="8" t="s">
        <v>1357</v>
      </c>
      <c r="AH239" s="11">
        <v>40756</v>
      </c>
      <c r="AI239" s="10">
        <v>545</v>
      </c>
      <c r="AJ239" s="12">
        <v>18</v>
      </c>
      <c r="AK239" s="12">
        <f t="shared" si="14"/>
        <v>3.3027522935779818</v>
      </c>
      <c r="AL239" s="12" t="str">
        <f t="shared" si="17"/>
        <v>Até 10%</v>
      </c>
      <c r="AM239" s="6" t="s">
        <v>1171</v>
      </c>
      <c r="AN239" s="6" t="s">
        <v>616</v>
      </c>
      <c r="AO239" s="6" t="s">
        <v>699</v>
      </c>
      <c r="AP239" s="6">
        <v>0</v>
      </c>
      <c r="AQ239" s="6" t="s">
        <v>613</v>
      </c>
      <c r="AR239" s="6" t="s">
        <v>1399</v>
      </c>
      <c r="AS239" s="6">
        <v>1</v>
      </c>
      <c r="AT239" s="6">
        <v>0</v>
      </c>
      <c r="AU239" s="6">
        <v>0</v>
      </c>
      <c r="AV239" s="6">
        <v>0</v>
      </c>
      <c r="AW239" s="6">
        <v>0</v>
      </c>
      <c r="AX239" s="31">
        <v>0</v>
      </c>
      <c r="AY239" s="31">
        <v>0</v>
      </c>
      <c r="AZ239" s="31">
        <v>0</v>
      </c>
      <c r="BA239" s="12">
        <f t="shared" si="15"/>
        <v>0</v>
      </c>
      <c r="BB239" s="31">
        <v>0</v>
      </c>
      <c r="BC239" s="31">
        <v>0</v>
      </c>
      <c r="BD239" s="31">
        <v>0</v>
      </c>
      <c r="BE239" s="31">
        <v>0</v>
      </c>
      <c r="BF239" s="12">
        <f t="shared" si="16"/>
        <v>0</v>
      </c>
      <c r="BG239" s="6">
        <v>0</v>
      </c>
      <c r="BH239" s="6">
        <v>0</v>
      </c>
      <c r="BI239" s="6">
        <v>0</v>
      </c>
      <c r="BJ239" s="6" t="s">
        <v>620</v>
      </c>
      <c r="BK239" s="6">
        <v>0</v>
      </c>
      <c r="BL239" s="6">
        <v>0</v>
      </c>
      <c r="BM239" s="6">
        <v>0</v>
      </c>
      <c r="BN239" s="6">
        <v>0</v>
      </c>
      <c r="BO239" s="6" t="s">
        <v>1154</v>
      </c>
      <c r="BP239" s="6" t="s">
        <v>1459</v>
      </c>
      <c r="BQ239" s="6" t="s">
        <v>1460</v>
      </c>
      <c r="BR239" s="6" t="s">
        <v>1459</v>
      </c>
    </row>
    <row r="240" spans="1:70" ht="52.8" customHeight="1" x14ac:dyDescent="0.3">
      <c r="A240" s="6">
        <v>1530895</v>
      </c>
      <c r="B240" s="6" t="s">
        <v>26</v>
      </c>
      <c r="C240" s="15" t="s">
        <v>487</v>
      </c>
      <c r="D240" s="6" t="s">
        <v>41</v>
      </c>
      <c r="E240" s="6" t="s">
        <v>15</v>
      </c>
      <c r="F240" s="7">
        <v>42137</v>
      </c>
      <c r="G240" s="7">
        <v>42218</v>
      </c>
      <c r="H240" s="8" t="s">
        <v>52</v>
      </c>
      <c r="I240" s="3" t="s">
        <v>48</v>
      </c>
      <c r="J240" s="3" t="s">
        <v>18</v>
      </c>
      <c r="K240" t="s">
        <v>19</v>
      </c>
      <c r="L240" s="6" t="s">
        <v>695</v>
      </c>
      <c r="M240" s="14" t="s">
        <v>724</v>
      </c>
      <c r="N240" s="6" t="s">
        <v>657</v>
      </c>
      <c r="O240" s="6">
        <v>0</v>
      </c>
      <c r="P240" s="6" t="s">
        <v>1148</v>
      </c>
      <c r="Q240" s="35">
        <v>1</v>
      </c>
      <c r="R240" s="35">
        <v>0</v>
      </c>
      <c r="S240" s="35">
        <v>0</v>
      </c>
      <c r="T240" s="35">
        <v>1</v>
      </c>
      <c r="U240" s="35">
        <v>0</v>
      </c>
      <c r="V240" s="35">
        <v>0</v>
      </c>
      <c r="W240" s="35">
        <v>0</v>
      </c>
      <c r="X240" s="6" t="s">
        <v>801</v>
      </c>
      <c r="Y240" s="6">
        <v>1</v>
      </c>
      <c r="Z240" s="6">
        <v>0</v>
      </c>
      <c r="AA240" s="6">
        <v>0</v>
      </c>
      <c r="AB240" s="6">
        <v>1</v>
      </c>
      <c r="AC240" s="6">
        <v>0</v>
      </c>
      <c r="AD240" s="14" t="s">
        <v>21</v>
      </c>
      <c r="AE240" s="13" t="s">
        <v>488</v>
      </c>
      <c r="AF240" s="13" t="s">
        <v>45</v>
      </c>
      <c r="AG240" s="8" t="s">
        <v>1357</v>
      </c>
      <c r="AH240" s="11">
        <v>41447</v>
      </c>
      <c r="AI240" s="10">
        <v>678</v>
      </c>
      <c r="AJ240" s="12">
        <v>140</v>
      </c>
      <c r="AK240" s="12">
        <f t="shared" si="14"/>
        <v>20.64896755162242</v>
      </c>
      <c r="AL240" s="12" t="str">
        <f t="shared" si="17"/>
        <v>10% a 25%</v>
      </c>
      <c r="AM240" s="6" t="s">
        <v>1172</v>
      </c>
      <c r="AN240" s="6" t="s">
        <v>1454</v>
      </c>
      <c r="AO240" s="6" t="s">
        <v>699</v>
      </c>
      <c r="AP240" s="6">
        <v>0</v>
      </c>
      <c r="AQ240" s="6" t="s">
        <v>625</v>
      </c>
      <c r="AR240" s="6" t="s">
        <v>1400</v>
      </c>
      <c r="AS240" s="6">
        <v>1</v>
      </c>
      <c r="AT240" s="6">
        <v>0</v>
      </c>
      <c r="AU240" s="6">
        <v>0</v>
      </c>
      <c r="AV240" s="6">
        <v>0</v>
      </c>
      <c r="AW240" s="6" t="s">
        <v>1168</v>
      </c>
      <c r="AX240" s="31">
        <v>2</v>
      </c>
      <c r="AY240" s="31">
        <v>6</v>
      </c>
      <c r="AZ240" s="31">
        <v>0</v>
      </c>
      <c r="BA240" s="12">
        <f t="shared" si="15"/>
        <v>30.333333333333332</v>
      </c>
      <c r="BB240" s="31">
        <v>10</v>
      </c>
      <c r="BC240" s="31">
        <v>0</v>
      </c>
      <c r="BD240" s="31">
        <v>0</v>
      </c>
      <c r="BE240" s="31">
        <v>0</v>
      </c>
      <c r="BF240" s="12">
        <f t="shared" si="16"/>
        <v>0</v>
      </c>
      <c r="BG240" s="6" t="s">
        <v>611</v>
      </c>
      <c r="BH240" s="6" t="s">
        <v>1392</v>
      </c>
      <c r="BI240" s="6">
        <v>0</v>
      </c>
      <c r="BJ240" s="6" t="s">
        <v>609</v>
      </c>
      <c r="BK240" s="6">
        <v>0</v>
      </c>
      <c r="BL240" s="6">
        <v>1</v>
      </c>
      <c r="BM240" s="6">
        <v>0</v>
      </c>
      <c r="BN240" s="6">
        <v>1</v>
      </c>
      <c r="BO240" s="6">
        <v>0</v>
      </c>
      <c r="BP240" s="6">
        <v>0</v>
      </c>
      <c r="BQ240" s="6">
        <v>0</v>
      </c>
      <c r="BR240" s="6">
        <v>0</v>
      </c>
    </row>
    <row r="241" spans="1:70" ht="52.8" customHeight="1" x14ac:dyDescent="0.3">
      <c r="A241" s="6">
        <v>309887</v>
      </c>
      <c r="B241" s="6" t="s">
        <v>24</v>
      </c>
      <c r="C241" s="15" t="s">
        <v>489</v>
      </c>
      <c r="D241" s="6" t="s">
        <v>33</v>
      </c>
      <c r="E241" s="6" t="s">
        <v>15</v>
      </c>
      <c r="F241" s="7">
        <v>41961</v>
      </c>
      <c r="G241" s="7">
        <v>42068</v>
      </c>
      <c r="H241" s="8" t="s">
        <v>59</v>
      </c>
      <c r="I241" s="3" t="s">
        <v>48</v>
      </c>
      <c r="J241" s="3" t="s">
        <v>18</v>
      </c>
      <c r="K241" t="s">
        <v>19</v>
      </c>
      <c r="L241" s="6" t="s">
        <v>696</v>
      </c>
      <c r="M241" s="14" t="s">
        <v>35</v>
      </c>
      <c r="N241" s="6" t="s">
        <v>657</v>
      </c>
      <c r="O241" s="6">
        <v>0</v>
      </c>
      <c r="P241" s="6" t="s">
        <v>1174</v>
      </c>
      <c r="Q241" s="35">
        <v>0</v>
      </c>
      <c r="R241" s="35">
        <v>0</v>
      </c>
      <c r="S241" s="35">
        <v>0</v>
      </c>
      <c r="T241" s="35">
        <v>0</v>
      </c>
      <c r="U241" s="35">
        <v>0</v>
      </c>
      <c r="V241" s="35">
        <v>0</v>
      </c>
      <c r="W241" s="35">
        <v>1</v>
      </c>
      <c r="X241" s="6" t="s">
        <v>801</v>
      </c>
      <c r="Y241" s="6">
        <v>1</v>
      </c>
      <c r="Z241" s="6">
        <v>0</v>
      </c>
      <c r="AA241" s="6">
        <v>0</v>
      </c>
      <c r="AB241" s="6">
        <v>1</v>
      </c>
      <c r="AC241" s="6">
        <v>0</v>
      </c>
      <c r="AD241" s="14" t="s">
        <v>43</v>
      </c>
      <c r="AE241" s="13" t="s">
        <v>490</v>
      </c>
      <c r="AF241" s="13" t="s">
        <v>36</v>
      </c>
      <c r="AG241" s="8" t="s">
        <v>1357</v>
      </c>
      <c r="AH241" s="11">
        <v>41508</v>
      </c>
      <c r="AI241" s="10">
        <v>678</v>
      </c>
      <c r="AJ241" s="12">
        <v>300</v>
      </c>
      <c r="AK241" s="12">
        <f t="shared" si="14"/>
        <v>44.247787610619469</v>
      </c>
      <c r="AL241" s="12" t="str">
        <f t="shared" si="17"/>
        <v>25% a 50%</v>
      </c>
      <c r="AM241" s="6" t="s">
        <v>1173</v>
      </c>
      <c r="AN241" s="6" t="s">
        <v>1454</v>
      </c>
      <c r="AO241" s="6" t="s">
        <v>699</v>
      </c>
      <c r="AP241" s="6">
        <v>0</v>
      </c>
      <c r="AQ241" s="6" t="s">
        <v>916</v>
      </c>
      <c r="AR241" s="6" t="s">
        <v>1400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31">
        <v>0</v>
      </c>
      <c r="AY241" s="31">
        <v>0</v>
      </c>
      <c r="AZ241" s="31">
        <v>0</v>
      </c>
      <c r="BA241" s="12">
        <f t="shared" si="15"/>
        <v>0</v>
      </c>
      <c r="BB241" s="31">
        <v>0</v>
      </c>
      <c r="BC241" s="31">
        <v>0</v>
      </c>
      <c r="BD241" s="31">
        <v>0</v>
      </c>
      <c r="BE241" s="31">
        <v>0</v>
      </c>
      <c r="BF241" s="12">
        <f t="shared" si="16"/>
        <v>0</v>
      </c>
      <c r="BG241" s="6">
        <v>0</v>
      </c>
      <c r="BH241" s="6">
        <v>0</v>
      </c>
      <c r="BI241" s="6">
        <v>0</v>
      </c>
      <c r="BJ241" s="6" t="s">
        <v>620</v>
      </c>
      <c r="BK241" s="6">
        <v>0</v>
      </c>
      <c r="BL241" s="6">
        <v>0</v>
      </c>
      <c r="BM241" s="6">
        <v>0</v>
      </c>
      <c r="BN241" s="6">
        <v>0</v>
      </c>
      <c r="BO241" s="6" t="s">
        <v>1134</v>
      </c>
      <c r="BP241" s="6" t="s">
        <v>1459</v>
      </c>
      <c r="BQ241" s="6" t="s">
        <v>1460</v>
      </c>
      <c r="BR241" s="6" t="s">
        <v>1460</v>
      </c>
    </row>
    <row r="242" spans="1:70" ht="52.8" customHeight="1" x14ac:dyDescent="0.3">
      <c r="A242" s="6">
        <v>585189</v>
      </c>
      <c r="B242" s="6" t="s">
        <v>46</v>
      </c>
      <c r="C242" s="15" t="s">
        <v>491</v>
      </c>
      <c r="D242" s="6" t="s">
        <v>106</v>
      </c>
      <c r="E242" s="6" t="s">
        <v>15</v>
      </c>
      <c r="F242" s="7">
        <v>41906</v>
      </c>
      <c r="G242" s="7">
        <v>42107</v>
      </c>
      <c r="H242" s="8" t="s">
        <v>118</v>
      </c>
      <c r="I242" s="3" t="s">
        <v>17</v>
      </c>
      <c r="J242" s="3" t="s">
        <v>18</v>
      </c>
      <c r="K242" t="s">
        <v>19</v>
      </c>
      <c r="L242" s="6" t="s">
        <v>696</v>
      </c>
      <c r="M242" s="14" t="s">
        <v>724</v>
      </c>
      <c r="N242" s="6" t="s">
        <v>657</v>
      </c>
      <c r="O242" s="6">
        <v>0</v>
      </c>
      <c r="P242" s="6" t="s">
        <v>702</v>
      </c>
      <c r="Q242" s="35">
        <v>1</v>
      </c>
      <c r="R242" s="35">
        <v>0</v>
      </c>
      <c r="S242" s="35">
        <v>1</v>
      </c>
      <c r="T242" s="35">
        <v>0</v>
      </c>
      <c r="U242" s="35">
        <v>0</v>
      </c>
      <c r="V242" s="35">
        <v>0</v>
      </c>
      <c r="W242" s="35">
        <v>0</v>
      </c>
      <c r="X242" s="6" t="s">
        <v>801</v>
      </c>
      <c r="Y242" s="6">
        <v>1</v>
      </c>
      <c r="Z242" s="6">
        <v>0</v>
      </c>
      <c r="AA242" s="6">
        <v>0</v>
      </c>
      <c r="AB242" s="6">
        <v>1</v>
      </c>
      <c r="AC242" s="6">
        <v>0</v>
      </c>
      <c r="AD242" s="14" t="s">
        <v>21</v>
      </c>
      <c r="AE242" s="13" t="s">
        <v>492</v>
      </c>
      <c r="AF242" s="13" t="s">
        <v>108</v>
      </c>
      <c r="AG242" s="8" t="s">
        <v>1357</v>
      </c>
      <c r="AH242" s="11">
        <v>40522</v>
      </c>
      <c r="AI242" s="10">
        <v>510</v>
      </c>
      <c r="AJ242" s="12">
        <v>150</v>
      </c>
      <c r="AK242" s="12">
        <f t="shared" si="14"/>
        <v>29.411764705882355</v>
      </c>
      <c r="AL242" s="12" t="str">
        <f t="shared" si="17"/>
        <v>25% a 50%</v>
      </c>
      <c r="AM242" s="6" t="s">
        <v>1177</v>
      </c>
      <c r="AN242" s="6" t="s">
        <v>1454</v>
      </c>
      <c r="AO242" s="6" t="s">
        <v>699</v>
      </c>
      <c r="AP242" s="6">
        <v>0</v>
      </c>
      <c r="AQ242" s="6" t="s">
        <v>1175</v>
      </c>
      <c r="AR242" s="6" t="s">
        <v>1401</v>
      </c>
      <c r="AS242" s="6">
        <v>0</v>
      </c>
      <c r="AT242" s="6">
        <v>0</v>
      </c>
      <c r="AU242" s="6">
        <v>0</v>
      </c>
      <c r="AV242" s="6">
        <v>0</v>
      </c>
      <c r="AW242" s="6" t="s">
        <v>1176</v>
      </c>
      <c r="AX242" s="31">
        <v>0</v>
      </c>
      <c r="AY242" s="31">
        <v>0</v>
      </c>
      <c r="AZ242" s="31">
        <v>0</v>
      </c>
      <c r="BA242" s="12">
        <f t="shared" si="15"/>
        <v>0</v>
      </c>
      <c r="BB242" s="31">
        <v>10</v>
      </c>
      <c r="BC242" s="31">
        <v>0</v>
      </c>
      <c r="BD242" s="31">
        <v>6</v>
      </c>
      <c r="BE242" s="31">
        <v>0</v>
      </c>
      <c r="BF242" s="12">
        <f t="shared" si="16"/>
        <v>6</v>
      </c>
      <c r="BG242" s="6" t="s">
        <v>636</v>
      </c>
      <c r="BH242" s="6" t="s">
        <v>1394</v>
      </c>
      <c r="BI242" s="6">
        <v>1</v>
      </c>
      <c r="BJ242" s="6" t="s">
        <v>609</v>
      </c>
      <c r="BK242" s="6">
        <v>0</v>
      </c>
      <c r="BL242" s="6">
        <v>0</v>
      </c>
      <c r="BM242" s="6">
        <v>0</v>
      </c>
      <c r="BN242" s="6">
        <v>1</v>
      </c>
      <c r="BO242" s="6">
        <v>0</v>
      </c>
      <c r="BP242" s="6">
        <v>0</v>
      </c>
      <c r="BQ242" s="6">
        <v>0</v>
      </c>
      <c r="BR242" s="6">
        <v>0</v>
      </c>
    </row>
    <row r="243" spans="1:70" ht="52.8" customHeight="1" x14ac:dyDescent="0.3">
      <c r="A243" s="6">
        <v>1509461</v>
      </c>
      <c r="B243" s="6" t="s">
        <v>26</v>
      </c>
      <c r="C243" s="15" t="s">
        <v>493</v>
      </c>
      <c r="D243" s="6" t="s">
        <v>226</v>
      </c>
      <c r="E243" s="6" t="s">
        <v>15</v>
      </c>
      <c r="F243" s="7">
        <v>42038</v>
      </c>
      <c r="G243" s="7">
        <v>42173</v>
      </c>
      <c r="H243" s="8" t="s">
        <v>94</v>
      </c>
      <c r="I243" s="3" t="s">
        <v>17</v>
      </c>
      <c r="J243" s="3" t="s">
        <v>18</v>
      </c>
      <c r="K243" t="s">
        <v>19</v>
      </c>
      <c r="L243" s="6" t="s">
        <v>695</v>
      </c>
      <c r="M243" s="14" t="s">
        <v>1181</v>
      </c>
      <c r="N243" s="6" t="s">
        <v>657</v>
      </c>
      <c r="O243" s="6">
        <v>0</v>
      </c>
      <c r="P243" s="6" t="s">
        <v>1180</v>
      </c>
      <c r="Q243" s="35">
        <v>1</v>
      </c>
      <c r="R243" s="35">
        <v>1</v>
      </c>
      <c r="S243" s="35">
        <v>0</v>
      </c>
      <c r="T243" s="35">
        <v>0</v>
      </c>
      <c r="U243" s="35">
        <v>0</v>
      </c>
      <c r="V243" s="35">
        <v>0</v>
      </c>
      <c r="W243" s="35">
        <v>0</v>
      </c>
      <c r="X243" s="6" t="s">
        <v>971</v>
      </c>
      <c r="Y243" s="6">
        <v>1</v>
      </c>
      <c r="Z243" s="6">
        <v>0</v>
      </c>
      <c r="AA243" s="6">
        <v>0</v>
      </c>
      <c r="AB243" s="6">
        <v>0</v>
      </c>
      <c r="AC243" s="6">
        <v>1</v>
      </c>
      <c r="AD243" s="14" t="s">
        <v>21</v>
      </c>
      <c r="AE243" s="13" t="s">
        <v>494</v>
      </c>
      <c r="AF243" s="13" t="s">
        <v>1178</v>
      </c>
      <c r="AG243" s="8" t="s">
        <v>194</v>
      </c>
      <c r="AH243" s="11">
        <v>41274</v>
      </c>
      <c r="AI243" s="10">
        <v>622</v>
      </c>
      <c r="AJ243" s="12">
        <v>150</v>
      </c>
      <c r="AK243" s="12">
        <f t="shared" si="14"/>
        <v>24.115755627009648</v>
      </c>
      <c r="AL243" s="12" t="str">
        <f t="shared" si="17"/>
        <v>10% a 25%</v>
      </c>
      <c r="AM243" s="6" t="s">
        <v>1179</v>
      </c>
      <c r="AN243" s="6" t="s">
        <v>1455</v>
      </c>
      <c r="AO243" s="6" t="s">
        <v>699</v>
      </c>
      <c r="AP243" s="6">
        <v>0</v>
      </c>
      <c r="AQ243" s="6" t="s">
        <v>613</v>
      </c>
      <c r="AR243" s="6" t="s">
        <v>1399</v>
      </c>
      <c r="AS243" s="6">
        <v>1</v>
      </c>
      <c r="AT243" s="6">
        <v>0</v>
      </c>
      <c r="AU243" s="6">
        <v>0</v>
      </c>
      <c r="AV243" s="6">
        <v>0</v>
      </c>
      <c r="AW243" s="6" t="s">
        <v>800</v>
      </c>
      <c r="AX243" s="31">
        <v>1</v>
      </c>
      <c r="AY243" s="31">
        <v>6</v>
      </c>
      <c r="AZ243" s="31">
        <v>0</v>
      </c>
      <c r="BA243" s="12">
        <f t="shared" si="15"/>
        <v>18.166666666666668</v>
      </c>
      <c r="BB243" s="31">
        <v>30</v>
      </c>
      <c r="BC243" s="31">
        <v>0</v>
      </c>
      <c r="BD243" s="31">
        <v>0</v>
      </c>
      <c r="BE243" s="31">
        <v>0</v>
      </c>
      <c r="BF243" s="12">
        <f t="shared" si="16"/>
        <v>0</v>
      </c>
      <c r="BG243" s="6" t="s">
        <v>611</v>
      </c>
      <c r="BH243" s="6" t="s">
        <v>1392</v>
      </c>
      <c r="BI243" s="6">
        <v>0</v>
      </c>
      <c r="BJ243" s="6" t="s">
        <v>617</v>
      </c>
      <c r="BK243" s="6">
        <v>0</v>
      </c>
      <c r="BL243" s="6">
        <v>1</v>
      </c>
      <c r="BM243" s="6">
        <v>0</v>
      </c>
      <c r="BN243" s="6">
        <v>0</v>
      </c>
      <c r="BO243" s="6" t="s">
        <v>1112</v>
      </c>
      <c r="BP243" s="6" t="s">
        <v>1461</v>
      </c>
      <c r="BQ243" s="6" t="s">
        <v>1459</v>
      </c>
      <c r="BR243" s="6" t="s">
        <v>1461</v>
      </c>
    </row>
    <row r="244" spans="1:70" ht="52.8" customHeight="1" x14ac:dyDescent="0.3">
      <c r="A244" s="6">
        <v>568137</v>
      </c>
      <c r="B244" s="6" t="s">
        <v>46</v>
      </c>
      <c r="C244" s="15" t="s">
        <v>495</v>
      </c>
      <c r="D244" s="6" t="s">
        <v>496</v>
      </c>
      <c r="E244" s="6" t="s">
        <v>15</v>
      </c>
      <c r="F244" s="7">
        <v>41878</v>
      </c>
      <c r="G244" s="7">
        <v>41914</v>
      </c>
      <c r="H244" s="8" t="s">
        <v>71</v>
      </c>
      <c r="I244" s="3" t="s">
        <v>17</v>
      </c>
      <c r="J244" s="3" t="s">
        <v>18</v>
      </c>
      <c r="K244" t="s">
        <v>19</v>
      </c>
      <c r="L244" s="6" t="s">
        <v>695</v>
      </c>
      <c r="M244" s="14" t="s">
        <v>626</v>
      </c>
      <c r="N244" s="6" t="s">
        <v>657</v>
      </c>
      <c r="O244" s="6">
        <v>0</v>
      </c>
      <c r="P244" s="6" t="s">
        <v>1048</v>
      </c>
      <c r="Q244" s="35">
        <v>0</v>
      </c>
      <c r="R244" s="35">
        <v>0</v>
      </c>
      <c r="S244" s="35">
        <v>1</v>
      </c>
      <c r="T244" s="35">
        <v>1</v>
      </c>
      <c r="U244" s="35">
        <v>0</v>
      </c>
      <c r="V244" s="35">
        <v>0</v>
      </c>
      <c r="W244" s="35">
        <v>0</v>
      </c>
      <c r="X244" s="6" t="s">
        <v>657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14" t="s">
        <v>21</v>
      </c>
      <c r="AE244" s="13" t="s">
        <v>497</v>
      </c>
      <c r="AF244" s="13" t="s">
        <v>498</v>
      </c>
      <c r="AG244" s="8" t="s">
        <v>1357</v>
      </c>
      <c r="AH244" s="11">
        <v>39326</v>
      </c>
      <c r="AI244" s="10">
        <v>380</v>
      </c>
      <c r="AJ244" s="12">
        <v>0</v>
      </c>
      <c r="AK244" s="12">
        <f t="shared" si="14"/>
        <v>0</v>
      </c>
      <c r="AL244" s="12" t="str">
        <f t="shared" si="17"/>
        <v>Não Informado</v>
      </c>
      <c r="AM244" s="6" t="s">
        <v>618</v>
      </c>
      <c r="AN244" s="6" t="s">
        <v>618</v>
      </c>
      <c r="AO244" s="6" t="s">
        <v>699</v>
      </c>
      <c r="AP244" s="6">
        <v>0</v>
      </c>
      <c r="AQ244" s="6" t="s">
        <v>613</v>
      </c>
      <c r="AR244" s="6" t="s">
        <v>1399</v>
      </c>
      <c r="AS244" s="6">
        <v>1</v>
      </c>
      <c r="AT244" s="6">
        <v>0</v>
      </c>
      <c r="AU244" s="6">
        <v>0</v>
      </c>
      <c r="AV244" s="6">
        <v>0</v>
      </c>
      <c r="AW244" s="6" t="s">
        <v>686</v>
      </c>
      <c r="AX244" s="31">
        <v>1</v>
      </c>
      <c r="AY244" s="31">
        <v>0</v>
      </c>
      <c r="AZ244" s="31">
        <v>0</v>
      </c>
      <c r="BA244" s="12">
        <f t="shared" si="15"/>
        <v>12.166666666666666</v>
      </c>
      <c r="BB244" s="31">
        <v>10</v>
      </c>
      <c r="BC244" s="31">
        <v>0</v>
      </c>
      <c r="BD244" s="31">
        <v>0</v>
      </c>
      <c r="BE244" s="31">
        <v>0</v>
      </c>
      <c r="BF244" s="12">
        <f t="shared" si="16"/>
        <v>0</v>
      </c>
      <c r="BG244" s="6" t="s">
        <v>636</v>
      </c>
      <c r="BH244" s="6" t="s">
        <v>1394</v>
      </c>
      <c r="BI244" s="6">
        <v>1</v>
      </c>
      <c r="BJ244" s="6" t="s">
        <v>609</v>
      </c>
      <c r="BK244" s="6">
        <v>0</v>
      </c>
      <c r="BL244" s="6">
        <v>0</v>
      </c>
      <c r="BM244" s="6">
        <v>0</v>
      </c>
      <c r="BN244" s="6">
        <v>1</v>
      </c>
      <c r="BO244" s="6">
        <v>0</v>
      </c>
      <c r="BP244" s="6">
        <v>0</v>
      </c>
      <c r="BQ244" s="6">
        <v>0</v>
      </c>
      <c r="BR244" s="6">
        <v>0</v>
      </c>
    </row>
    <row r="245" spans="1:70" ht="52.8" customHeight="1" x14ac:dyDescent="0.3">
      <c r="A245" s="6">
        <v>861962</v>
      </c>
      <c r="B245" s="6" t="s">
        <v>46</v>
      </c>
      <c r="C245" s="15" t="s">
        <v>499</v>
      </c>
      <c r="D245" s="6" t="s">
        <v>129</v>
      </c>
      <c r="E245" s="6" t="s">
        <v>15</v>
      </c>
      <c r="F245" s="7">
        <v>42429</v>
      </c>
      <c r="G245" s="7">
        <v>42458</v>
      </c>
      <c r="H245" s="8" t="s">
        <v>52</v>
      </c>
      <c r="I245" s="3" t="s">
        <v>48</v>
      </c>
      <c r="J245" s="3" t="s">
        <v>18</v>
      </c>
      <c r="K245" t="s">
        <v>19</v>
      </c>
      <c r="L245" s="6" t="s">
        <v>695</v>
      </c>
      <c r="M245" s="14" t="s">
        <v>35</v>
      </c>
      <c r="N245" s="6" t="s">
        <v>657</v>
      </c>
      <c r="O245" s="6">
        <v>0</v>
      </c>
      <c r="P245" s="6" t="s">
        <v>1157</v>
      </c>
      <c r="Q245" s="35">
        <v>1</v>
      </c>
      <c r="R245" s="35">
        <v>0</v>
      </c>
      <c r="S245" s="35">
        <v>1</v>
      </c>
      <c r="T245" s="35">
        <v>1</v>
      </c>
      <c r="U245" s="35">
        <v>0</v>
      </c>
      <c r="V245" s="35">
        <v>0</v>
      </c>
      <c r="W245" s="35">
        <v>0</v>
      </c>
      <c r="X245" s="6" t="s">
        <v>657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14" t="s">
        <v>21</v>
      </c>
      <c r="AE245" s="13" t="s">
        <v>500</v>
      </c>
      <c r="AF245" s="13" t="s">
        <v>501</v>
      </c>
      <c r="AG245" s="8" t="s">
        <v>1357</v>
      </c>
      <c r="AH245" s="11">
        <v>41230</v>
      </c>
      <c r="AI245" s="10">
        <v>622</v>
      </c>
      <c r="AJ245" s="12">
        <v>492</v>
      </c>
      <c r="AK245" s="12">
        <f t="shared" si="14"/>
        <v>79.099678456591633</v>
      </c>
      <c r="AL245" s="12" t="str">
        <f t="shared" si="17"/>
        <v>Acima de 50%</v>
      </c>
      <c r="AM245" s="6" t="s">
        <v>737</v>
      </c>
      <c r="AN245" s="6" t="s">
        <v>1454</v>
      </c>
      <c r="AO245" s="6" t="s">
        <v>701</v>
      </c>
      <c r="AP245" s="6">
        <v>1</v>
      </c>
      <c r="AQ245" s="6" t="s">
        <v>1182</v>
      </c>
      <c r="AR245" s="6" t="s">
        <v>1400</v>
      </c>
      <c r="AS245" s="6">
        <v>1</v>
      </c>
      <c r="AT245" s="6">
        <v>0</v>
      </c>
      <c r="AU245" s="6">
        <v>0</v>
      </c>
      <c r="AV245" s="6">
        <v>0</v>
      </c>
      <c r="AW245" s="6" t="s">
        <v>974</v>
      </c>
      <c r="AX245" s="31">
        <v>2</v>
      </c>
      <c r="AY245" s="31">
        <v>0</v>
      </c>
      <c r="AZ245" s="31">
        <v>0</v>
      </c>
      <c r="BA245" s="12">
        <f t="shared" si="15"/>
        <v>24.333333333333332</v>
      </c>
      <c r="BB245" s="31">
        <v>30</v>
      </c>
      <c r="BC245" s="31">
        <v>0</v>
      </c>
      <c r="BD245" s="31">
        <v>0</v>
      </c>
      <c r="BE245" s="31">
        <v>0</v>
      </c>
      <c r="BF245" s="12">
        <f t="shared" si="16"/>
        <v>0</v>
      </c>
      <c r="BG245" s="6" t="s">
        <v>1183</v>
      </c>
      <c r="BH245" s="6" t="s">
        <v>1394</v>
      </c>
      <c r="BI245" s="6">
        <v>0</v>
      </c>
      <c r="BJ245" s="6" t="s">
        <v>609</v>
      </c>
      <c r="BK245" s="6">
        <v>0</v>
      </c>
      <c r="BL245" s="6">
        <v>0</v>
      </c>
      <c r="BM245" s="6">
        <v>0</v>
      </c>
      <c r="BN245" s="6">
        <v>1</v>
      </c>
      <c r="BO245" s="6">
        <v>0</v>
      </c>
      <c r="BP245" s="6">
        <v>0</v>
      </c>
      <c r="BQ245" s="6">
        <v>0</v>
      </c>
      <c r="BR245" s="6">
        <v>0</v>
      </c>
    </row>
    <row r="246" spans="1:70" ht="52.8" customHeight="1" x14ac:dyDescent="0.3">
      <c r="A246" s="6">
        <v>350109</v>
      </c>
      <c r="B246" s="6" t="s">
        <v>24</v>
      </c>
      <c r="C246" s="15" t="s">
        <v>502</v>
      </c>
      <c r="D246" s="6" t="s">
        <v>106</v>
      </c>
      <c r="E246" s="6" t="s">
        <v>15</v>
      </c>
      <c r="F246" s="7">
        <v>42424</v>
      </c>
      <c r="G246" s="7">
        <v>42467</v>
      </c>
      <c r="H246" s="8" t="s">
        <v>101</v>
      </c>
      <c r="I246" s="3" t="s">
        <v>48</v>
      </c>
      <c r="J246" s="3" t="s">
        <v>18</v>
      </c>
      <c r="K246" t="s">
        <v>19</v>
      </c>
      <c r="L246" s="6" t="s">
        <v>695</v>
      </c>
      <c r="M246" s="14" t="s">
        <v>848</v>
      </c>
      <c r="N246" s="6" t="s">
        <v>657</v>
      </c>
      <c r="O246" s="6">
        <v>0</v>
      </c>
      <c r="P246" s="6" t="s">
        <v>1148</v>
      </c>
      <c r="Q246" s="35">
        <v>1</v>
      </c>
      <c r="R246" s="35">
        <v>0</v>
      </c>
      <c r="S246" s="35">
        <v>0</v>
      </c>
      <c r="T246" s="35">
        <v>1</v>
      </c>
      <c r="U246" s="35">
        <v>0</v>
      </c>
      <c r="V246" s="35">
        <v>0</v>
      </c>
      <c r="W246" s="35">
        <v>0</v>
      </c>
      <c r="X246" s="6" t="s">
        <v>1187</v>
      </c>
      <c r="Y246" s="6">
        <v>1</v>
      </c>
      <c r="Z246" s="6">
        <v>1</v>
      </c>
      <c r="AA246" s="6">
        <v>1</v>
      </c>
      <c r="AB246" s="6">
        <v>1</v>
      </c>
      <c r="AC246" s="6">
        <v>0</v>
      </c>
      <c r="AD246" s="14" t="s">
        <v>43</v>
      </c>
      <c r="AE246" s="13" t="s">
        <v>503</v>
      </c>
      <c r="AF246" s="13" t="s">
        <v>108</v>
      </c>
      <c r="AG246" s="8" t="s">
        <v>1357</v>
      </c>
      <c r="AH246" s="11">
        <v>41395</v>
      </c>
      <c r="AI246" s="10">
        <v>678</v>
      </c>
      <c r="AJ246" s="12">
        <v>273</v>
      </c>
      <c r="AK246" s="12">
        <f t="shared" si="14"/>
        <v>40.26548672566372</v>
      </c>
      <c r="AL246" s="12" t="str">
        <f t="shared" si="17"/>
        <v>25% a 50%</v>
      </c>
      <c r="AM246" s="6" t="s">
        <v>1186</v>
      </c>
      <c r="AN246" s="6" t="s">
        <v>1454</v>
      </c>
      <c r="AO246" s="6" t="s">
        <v>701</v>
      </c>
      <c r="AP246" s="6">
        <v>1</v>
      </c>
      <c r="AQ246" s="6" t="s">
        <v>1184</v>
      </c>
      <c r="AR246" s="6" t="s">
        <v>1403</v>
      </c>
      <c r="AS246" s="6">
        <v>0</v>
      </c>
      <c r="AT246" s="6">
        <v>0</v>
      </c>
      <c r="AU246" s="6">
        <v>0</v>
      </c>
      <c r="AV246" s="6">
        <v>0</v>
      </c>
      <c r="AW246" s="6" t="s">
        <v>1185</v>
      </c>
      <c r="AX246" s="31">
        <v>0</v>
      </c>
      <c r="AY246" s="31">
        <v>9</v>
      </c>
      <c r="AZ246" s="31">
        <v>10</v>
      </c>
      <c r="BA246" s="12">
        <f t="shared" si="15"/>
        <v>9.3333333333333339</v>
      </c>
      <c r="BB246" s="31">
        <v>5</v>
      </c>
      <c r="BC246" s="31">
        <v>0</v>
      </c>
      <c r="BD246" s="31">
        <v>0</v>
      </c>
      <c r="BE246" s="31">
        <v>0</v>
      </c>
      <c r="BF246" s="12">
        <f t="shared" si="16"/>
        <v>0</v>
      </c>
      <c r="BG246" s="6" t="s">
        <v>636</v>
      </c>
      <c r="BH246" s="6" t="s">
        <v>1394</v>
      </c>
      <c r="BI246" s="6">
        <v>1</v>
      </c>
      <c r="BJ246" s="6" t="s">
        <v>609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0</v>
      </c>
    </row>
    <row r="247" spans="1:70" ht="52.8" customHeight="1" x14ac:dyDescent="0.3">
      <c r="A247" s="6">
        <v>576193</v>
      </c>
      <c r="B247" s="6" t="s">
        <v>46</v>
      </c>
      <c r="C247" s="15" t="s">
        <v>504</v>
      </c>
      <c r="D247" s="6" t="s">
        <v>47</v>
      </c>
      <c r="E247" s="6" t="s">
        <v>15</v>
      </c>
      <c r="F247" s="7">
        <v>41890</v>
      </c>
      <c r="G247" s="7">
        <v>41936</v>
      </c>
      <c r="H247" s="8" t="s">
        <v>71</v>
      </c>
      <c r="I247" s="3" t="s">
        <v>48</v>
      </c>
      <c r="J247" s="3" t="s">
        <v>18</v>
      </c>
      <c r="K247" t="s">
        <v>19</v>
      </c>
      <c r="L247" s="6" t="s">
        <v>695</v>
      </c>
      <c r="M247" s="14" t="s">
        <v>626</v>
      </c>
      <c r="N247" s="6" t="s">
        <v>657</v>
      </c>
      <c r="O247" s="6">
        <v>0</v>
      </c>
      <c r="P247" s="6" t="s">
        <v>1189</v>
      </c>
      <c r="Q247" s="35">
        <v>1</v>
      </c>
      <c r="R247" s="35">
        <v>1</v>
      </c>
      <c r="S247" s="35">
        <v>0</v>
      </c>
      <c r="T247" s="35">
        <v>1</v>
      </c>
      <c r="U247" s="35">
        <v>0</v>
      </c>
      <c r="V247" s="35">
        <v>0</v>
      </c>
      <c r="W247" s="35">
        <v>0</v>
      </c>
      <c r="X247" s="6" t="s">
        <v>1002</v>
      </c>
      <c r="Y247" s="6">
        <v>1</v>
      </c>
      <c r="Z247" s="6">
        <v>0</v>
      </c>
      <c r="AA247" s="6">
        <v>0</v>
      </c>
      <c r="AB247" s="6">
        <v>1</v>
      </c>
      <c r="AC247" s="6">
        <v>1</v>
      </c>
      <c r="AD247" s="14" t="s">
        <v>21</v>
      </c>
      <c r="AE247" s="13" t="s">
        <v>505</v>
      </c>
      <c r="AF247" s="13" t="s">
        <v>92</v>
      </c>
      <c r="AG247" s="8" t="s">
        <v>1357</v>
      </c>
      <c r="AH247" s="11">
        <v>40030</v>
      </c>
      <c r="AI247" s="10">
        <v>465</v>
      </c>
      <c r="AJ247" s="12">
        <v>2000</v>
      </c>
      <c r="AK247" s="12">
        <f t="shared" si="14"/>
        <v>430.10752688172039</v>
      </c>
      <c r="AL247" s="12" t="str">
        <f t="shared" si="17"/>
        <v>Acima de 50%</v>
      </c>
      <c r="AM247" s="6" t="s">
        <v>1188</v>
      </c>
      <c r="AN247" s="6" t="s">
        <v>1454</v>
      </c>
      <c r="AO247" s="6" t="s">
        <v>701</v>
      </c>
      <c r="AP247" s="6">
        <v>1</v>
      </c>
      <c r="AQ247" s="6" t="s">
        <v>625</v>
      </c>
      <c r="AR247" s="6" t="s">
        <v>1400</v>
      </c>
      <c r="AS247" s="6">
        <v>1</v>
      </c>
      <c r="AT247" s="6">
        <v>0</v>
      </c>
      <c r="AU247" s="6">
        <v>0</v>
      </c>
      <c r="AV247" s="6">
        <v>0</v>
      </c>
      <c r="AW247" s="6" t="s">
        <v>1139</v>
      </c>
      <c r="AX247" s="31">
        <v>2</v>
      </c>
      <c r="AY247" s="31">
        <v>6</v>
      </c>
      <c r="AZ247" s="31">
        <v>0</v>
      </c>
      <c r="BA247" s="12">
        <f t="shared" si="15"/>
        <v>30.333333333333332</v>
      </c>
      <c r="BB247" s="31">
        <v>10</v>
      </c>
      <c r="BC247" s="31">
        <v>0</v>
      </c>
      <c r="BD247" s="31">
        <v>0</v>
      </c>
      <c r="BE247" s="31">
        <v>0</v>
      </c>
      <c r="BF247" s="12">
        <f t="shared" si="16"/>
        <v>0</v>
      </c>
      <c r="BG247" s="6" t="s">
        <v>615</v>
      </c>
      <c r="BH247" s="6" t="s">
        <v>1393</v>
      </c>
      <c r="BI247" s="6">
        <v>0</v>
      </c>
      <c r="BJ247" s="6" t="s">
        <v>609</v>
      </c>
      <c r="BK247" s="6">
        <v>0</v>
      </c>
      <c r="BL247" s="6">
        <v>1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</row>
    <row r="248" spans="1:70" ht="52.8" customHeight="1" x14ac:dyDescent="0.3">
      <c r="A248" s="6">
        <v>331661</v>
      </c>
      <c r="B248" s="6" t="s">
        <v>24</v>
      </c>
      <c r="C248" s="15" t="s">
        <v>506</v>
      </c>
      <c r="D248" s="6" t="s">
        <v>33</v>
      </c>
      <c r="E248" s="6" t="s">
        <v>15</v>
      </c>
      <c r="F248" s="7">
        <v>42216</v>
      </c>
      <c r="G248" s="7">
        <v>42523</v>
      </c>
      <c r="H248" s="8" t="s">
        <v>52</v>
      </c>
      <c r="I248" s="3" t="s">
        <v>48</v>
      </c>
      <c r="J248" s="3" t="s">
        <v>18</v>
      </c>
      <c r="K248" t="s">
        <v>19</v>
      </c>
      <c r="L248" s="6" t="s">
        <v>695</v>
      </c>
      <c r="M248" s="14" t="s">
        <v>35</v>
      </c>
      <c r="N248" s="6" t="s">
        <v>657</v>
      </c>
      <c r="O248" s="6">
        <v>0</v>
      </c>
      <c r="P248" s="6" t="s">
        <v>1148</v>
      </c>
      <c r="Q248" s="35">
        <v>1</v>
      </c>
      <c r="R248" s="35">
        <v>0</v>
      </c>
      <c r="S248" s="35">
        <v>0</v>
      </c>
      <c r="T248" s="35">
        <v>1</v>
      </c>
      <c r="U248" s="35">
        <v>0</v>
      </c>
      <c r="V248" s="35">
        <v>0</v>
      </c>
      <c r="W248" s="35">
        <v>0</v>
      </c>
      <c r="X248" s="6" t="s">
        <v>860</v>
      </c>
      <c r="Y248" s="6">
        <v>1</v>
      </c>
      <c r="Z248" s="6">
        <v>1</v>
      </c>
      <c r="AA248" s="6">
        <v>1</v>
      </c>
      <c r="AB248" s="6">
        <v>1</v>
      </c>
      <c r="AC248" s="6">
        <v>1</v>
      </c>
      <c r="AD248" s="14" t="s">
        <v>43</v>
      </c>
      <c r="AE248" s="13" t="s">
        <v>507</v>
      </c>
      <c r="AF248" s="13" t="s">
        <v>36</v>
      </c>
      <c r="AG248" s="8" t="s">
        <v>1357</v>
      </c>
      <c r="AH248" s="11">
        <v>41221</v>
      </c>
      <c r="AI248" s="10">
        <v>622</v>
      </c>
      <c r="AJ248" s="12">
        <v>155.16</v>
      </c>
      <c r="AK248" s="12">
        <f t="shared" si="14"/>
        <v>24.945337620578776</v>
      </c>
      <c r="AL248" s="12" t="str">
        <f t="shared" si="17"/>
        <v>10% a 25%</v>
      </c>
      <c r="AM248" s="6" t="s">
        <v>1190</v>
      </c>
      <c r="AN248" s="6" t="s">
        <v>1454</v>
      </c>
      <c r="AO248" s="6" t="s">
        <v>701</v>
      </c>
      <c r="AP248" s="6">
        <v>1</v>
      </c>
      <c r="AQ248" s="6" t="s">
        <v>1419</v>
      </c>
      <c r="AR248" s="6" t="s">
        <v>1399</v>
      </c>
      <c r="AS248" s="6">
        <v>1</v>
      </c>
      <c r="AT248" s="6">
        <v>0</v>
      </c>
      <c r="AU248" s="6">
        <v>1</v>
      </c>
      <c r="AV248" s="6">
        <v>0</v>
      </c>
      <c r="AW248" s="6" t="s">
        <v>1124</v>
      </c>
      <c r="AX248" s="31">
        <v>2</v>
      </c>
      <c r="AY248" s="31">
        <v>4</v>
      </c>
      <c r="AZ248" s="31">
        <v>0</v>
      </c>
      <c r="BA248" s="12">
        <f t="shared" si="15"/>
        <v>28.333333333333332</v>
      </c>
      <c r="BB248" s="31">
        <v>10</v>
      </c>
      <c r="BC248" s="31">
        <v>0</v>
      </c>
      <c r="BD248" s="31">
        <v>0</v>
      </c>
      <c r="BE248" s="31">
        <v>0</v>
      </c>
      <c r="BF248" s="12">
        <f t="shared" si="16"/>
        <v>0</v>
      </c>
      <c r="BG248" s="6" t="s">
        <v>636</v>
      </c>
      <c r="BH248" s="6" t="s">
        <v>1394</v>
      </c>
      <c r="BI248" s="6">
        <v>1</v>
      </c>
      <c r="BJ248" s="6" t="s">
        <v>609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</row>
    <row r="249" spans="1:70" ht="52.8" customHeight="1" x14ac:dyDescent="0.3">
      <c r="A249" s="6">
        <v>1471511</v>
      </c>
      <c r="B249" s="6" t="s">
        <v>13</v>
      </c>
      <c r="C249" s="15" t="s">
        <v>1191</v>
      </c>
      <c r="D249" s="6" t="s">
        <v>226</v>
      </c>
      <c r="E249" s="6" t="s">
        <v>15</v>
      </c>
      <c r="F249" s="7">
        <v>41856</v>
      </c>
      <c r="G249" s="7">
        <v>42143</v>
      </c>
      <c r="H249" s="8" t="s">
        <v>38</v>
      </c>
      <c r="I249" s="3" t="s">
        <v>227</v>
      </c>
      <c r="J249" s="3" t="s">
        <v>18</v>
      </c>
      <c r="K249" t="s">
        <v>19</v>
      </c>
      <c r="L249" s="6" t="s">
        <v>696</v>
      </c>
      <c r="M249" s="14" t="s">
        <v>626</v>
      </c>
      <c r="N249" s="6" t="s">
        <v>657</v>
      </c>
      <c r="O249" s="6">
        <v>0</v>
      </c>
      <c r="P249" s="6" t="s">
        <v>709</v>
      </c>
      <c r="Q249" s="35">
        <v>0</v>
      </c>
      <c r="R249" s="35">
        <v>0</v>
      </c>
      <c r="S249" s="35">
        <v>1</v>
      </c>
      <c r="T249" s="35">
        <v>0</v>
      </c>
      <c r="U249" s="35">
        <v>0</v>
      </c>
      <c r="V249" s="35">
        <v>0</v>
      </c>
      <c r="W249" s="35">
        <v>0</v>
      </c>
      <c r="X249" s="6" t="s">
        <v>657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14" t="s">
        <v>43</v>
      </c>
      <c r="AE249" s="13" t="s">
        <v>228</v>
      </c>
      <c r="AF249" s="13" t="s">
        <v>194</v>
      </c>
      <c r="AG249" s="8" t="s">
        <v>194</v>
      </c>
      <c r="AH249" s="11">
        <v>40136</v>
      </c>
      <c r="AI249" s="10">
        <v>465</v>
      </c>
      <c r="AJ249" s="12">
        <v>70</v>
      </c>
      <c r="AK249" s="12">
        <f t="shared" ref="AK249:AK305" si="19">IFERROR((AJ249/AI249)*100,"")</f>
        <v>15.053763440860216</v>
      </c>
      <c r="AL249" s="12" t="str">
        <f t="shared" si="17"/>
        <v>10% a 25%</v>
      </c>
      <c r="AM249" s="6" t="s">
        <v>622</v>
      </c>
      <c r="AN249" s="6" t="s">
        <v>622</v>
      </c>
      <c r="AO249" s="6" t="s">
        <v>701</v>
      </c>
      <c r="AP249" s="6">
        <v>1</v>
      </c>
      <c r="AQ249" s="6" t="s">
        <v>785</v>
      </c>
      <c r="AR249" s="6" t="s">
        <v>1401</v>
      </c>
      <c r="AS249" s="6">
        <v>1</v>
      </c>
      <c r="AT249" s="6">
        <v>0</v>
      </c>
      <c r="AU249" s="6">
        <v>0</v>
      </c>
      <c r="AV249" s="6">
        <v>0</v>
      </c>
      <c r="AW249" s="6">
        <v>0</v>
      </c>
      <c r="AX249" s="31">
        <v>0</v>
      </c>
      <c r="AY249" s="31">
        <v>0</v>
      </c>
      <c r="AZ249" s="31">
        <v>0</v>
      </c>
      <c r="BA249" s="12">
        <f t="shared" si="15"/>
        <v>0</v>
      </c>
      <c r="BB249" s="31">
        <v>0</v>
      </c>
      <c r="BC249" s="31">
        <v>0</v>
      </c>
      <c r="BD249" s="31">
        <v>0</v>
      </c>
      <c r="BE249" s="31">
        <v>0</v>
      </c>
      <c r="BF249" s="12">
        <f t="shared" si="16"/>
        <v>0</v>
      </c>
      <c r="BG249" s="6">
        <v>0</v>
      </c>
      <c r="BH249" s="6">
        <v>0</v>
      </c>
      <c r="BI249" s="6">
        <v>0</v>
      </c>
      <c r="BJ249" s="6" t="s">
        <v>1193</v>
      </c>
      <c r="BK249" s="6">
        <v>0</v>
      </c>
      <c r="BL249" s="6">
        <v>0</v>
      </c>
      <c r="BM249" s="6">
        <v>0</v>
      </c>
      <c r="BN249" s="6">
        <v>1</v>
      </c>
      <c r="BO249" s="6" t="s">
        <v>1192</v>
      </c>
      <c r="BP249" s="6" t="s">
        <v>1459</v>
      </c>
      <c r="BQ249" s="6" t="s">
        <v>1459</v>
      </c>
      <c r="BR249" s="6" t="s">
        <v>1460</v>
      </c>
    </row>
    <row r="250" spans="1:70" ht="52.8" customHeight="1" x14ac:dyDescent="0.3">
      <c r="A250" s="6">
        <v>628538</v>
      </c>
      <c r="B250" s="6" t="s">
        <v>46</v>
      </c>
      <c r="C250" s="15" t="s">
        <v>508</v>
      </c>
      <c r="D250" s="6" t="s">
        <v>64</v>
      </c>
      <c r="E250" s="6" t="s">
        <v>15</v>
      </c>
      <c r="F250" s="7">
        <v>41988</v>
      </c>
      <c r="G250" s="7">
        <v>42242</v>
      </c>
      <c r="H250" s="8" t="s">
        <v>157</v>
      </c>
      <c r="I250" s="3" t="s">
        <v>48</v>
      </c>
      <c r="J250" s="3" t="s">
        <v>18</v>
      </c>
      <c r="K250" t="s">
        <v>19</v>
      </c>
      <c r="L250" s="6" t="s">
        <v>696</v>
      </c>
      <c r="M250" s="14" t="s">
        <v>724</v>
      </c>
      <c r="N250" s="6" t="s">
        <v>657</v>
      </c>
      <c r="O250" s="6">
        <v>0</v>
      </c>
      <c r="P250" s="6" t="s">
        <v>1195</v>
      </c>
      <c r="Q250" s="35">
        <v>1</v>
      </c>
      <c r="R250" s="35">
        <v>1</v>
      </c>
      <c r="S250" s="35">
        <v>0</v>
      </c>
      <c r="T250" s="35">
        <v>0</v>
      </c>
      <c r="U250" s="35">
        <v>0</v>
      </c>
      <c r="V250" s="35">
        <v>0</v>
      </c>
      <c r="W250" s="35">
        <v>0</v>
      </c>
      <c r="X250" s="6" t="s">
        <v>657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14" t="s">
        <v>21</v>
      </c>
      <c r="AE250" s="13" t="s">
        <v>509</v>
      </c>
      <c r="AF250" s="13" t="s">
        <v>66</v>
      </c>
      <c r="AG250" s="8" t="s">
        <v>1357</v>
      </c>
      <c r="AH250" s="11">
        <v>41458</v>
      </c>
      <c r="AI250" s="10">
        <v>678</v>
      </c>
      <c r="AJ250" s="12">
        <v>71</v>
      </c>
      <c r="AK250" s="12">
        <f t="shared" si="19"/>
        <v>10.471976401179942</v>
      </c>
      <c r="AL250" s="12" t="str">
        <f t="shared" si="17"/>
        <v>10% a 25%</v>
      </c>
      <c r="AM250" s="6" t="s">
        <v>1194</v>
      </c>
      <c r="AN250" s="6" t="s">
        <v>1454</v>
      </c>
      <c r="AO250" s="6" t="s">
        <v>699</v>
      </c>
      <c r="AP250" s="6">
        <v>0</v>
      </c>
      <c r="AQ250" s="6" t="s">
        <v>628</v>
      </c>
      <c r="AR250" s="6" t="s">
        <v>1400</v>
      </c>
      <c r="AS250" s="6">
        <v>1</v>
      </c>
      <c r="AT250" s="6">
        <v>0</v>
      </c>
      <c r="AU250" s="6">
        <v>0</v>
      </c>
      <c r="AV250" s="6">
        <v>0</v>
      </c>
      <c r="AW250" s="6">
        <v>0</v>
      </c>
      <c r="AX250" s="31">
        <v>0</v>
      </c>
      <c r="AY250" s="31">
        <v>0</v>
      </c>
      <c r="AZ250" s="31">
        <v>0</v>
      </c>
      <c r="BA250" s="12">
        <f t="shared" si="15"/>
        <v>0</v>
      </c>
      <c r="BB250" s="31">
        <v>0</v>
      </c>
      <c r="BC250" s="31">
        <v>0</v>
      </c>
      <c r="BD250" s="31">
        <v>0</v>
      </c>
      <c r="BE250" s="31">
        <v>0</v>
      </c>
      <c r="BF250" s="12">
        <f t="shared" si="16"/>
        <v>0</v>
      </c>
      <c r="BG250" s="6">
        <v>0</v>
      </c>
      <c r="BH250" s="6">
        <v>0</v>
      </c>
      <c r="BI250" s="6">
        <v>0</v>
      </c>
      <c r="BJ250" s="6" t="s">
        <v>620</v>
      </c>
      <c r="BK250" s="6">
        <v>0</v>
      </c>
      <c r="BL250" s="6">
        <v>1</v>
      </c>
      <c r="BM250" s="6">
        <v>0</v>
      </c>
      <c r="BN250" s="6">
        <v>0</v>
      </c>
      <c r="BO250" s="6" t="s">
        <v>1134</v>
      </c>
      <c r="BP250" s="6" t="s">
        <v>1459</v>
      </c>
      <c r="BQ250" s="6" t="s">
        <v>1460</v>
      </c>
      <c r="BR250" s="6" t="s">
        <v>1460</v>
      </c>
    </row>
    <row r="251" spans="1:70" ht="52.8" customHeight="1" x14ac:dyDescent="0.3">
      <c r="A251" s="6">
        <v>349329</v>
      </c>
      <c r="B251" s="6" t="s">
        <v>24</v>
      </c>
      <c r="C251" s="27" t="s">
        <v>1340</v>
      </c>
      <c r="D251" s="6" t="s">
        <v>33</v>
      </c>
      <c r="E251" s="6" t="s">
        <v>15</v>
      </c>
      <c r="F251" s="7">
        <v>42416</v>
      </c>
      <c r="G251" s="7">
        <v>42178</v>
      </c>
      <c r="H251" s="8" t="s">
        <v>118</v>
      </c>
      <c r="I251" s="3" t="s">
        <v>48</v>
      </c>
      <c r="J251" s="3" t="s">
        <v>18</v>
      </c>
      <c r="K251" t="s">
        <v>19</v>
      </c>
      <c r="L251" s="6" t="s">
        <v>696</v>
      </c>
      <c r="M251" s="14" t="s">
        <v>848</v>
      </c>
      <c r="N251" s="6" t="s">
        <v>657</v>
      </c>
      <c r="O251" s="6">
        <v>0</v>
      </c>
      <c r="P251" s="6" t="s">
        <v>763</v>
      </c>
      <c r="Q251" s="35">
        <v>0</v>
      </c>
      <c r="R251" s="35">
        <v>0</v>
      </c>
      <c r="S251" s="35">
        <v>1</v>
      </c>
      <c r="T251" s="35">
        <v>0</v>
      </c>
      <c r="U251" s="35">
        <v>0</v>
      </c>
      <c r="V251" s="35">
        <v>0</v>
      </c>
      <c r="W251" s="35">
        <v>0</v>
      </c>
      <c r="X251" s="6" t="s">
        <v>657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14" t="s">
        <v>21</v>
      </c>
      <c r="AE251" s="13" t="s">
        <v>510</v>
      </c>
      <c r="AF251" s="13" t="s">
        <v>36</v>
      </c>
      <c r="AG251" s="8" t="s">
        <v>1357</v>
      </c>
      <c r="AH251" s="11">
        <v>41581</v>
      </c>
      <c r="AI251" s="10">
        <v>678</v>
      </c>
      <c r="AJ251" s="12">
        <v>100</v>
      </c>
      <c r="AK251" s="12">
        <f t="shared" si="19"/>
        <v>14.749262536873156</v>
      </c>
      <c r="AL251" s="12" t="str">
        <f t="shared" si="17"/>
        <v>10% a 25%</v>
      </c>
      <c r="AM251" s="6" t="s">
        <v>786</v>
      </c>
      <c r="AN251" s="6" t="s">
        <v>1455</v>
      </c>
      <c r="AO251" s="6" t="s">
        <v>699</v>
      </c>
      <c r="AP251" s="6">
        <v>0</v>
      </c>
      <c r="AQ251" s="6" t="s">
        <v>613</v>
      </c>
      <c r="AR251" s="6" t="s">
        <v>1399</v>
      </c>
      <c r="AS251" s="6">
        <v>1</v>
      </c>
      <c r="AT251" s="6">
        <v>0</v>
      </c>
      <c r="AU251" s="6">
        <v>0</v>
      </c>
      <c r="AV251" s="6">
        <v>0</v>
      </c>
      <c r="AW251" s="6" t="s">
        <v>1341</v>
      </c>
      <c r="AX251" s="31">
        <v>1</v>
      </c>
      <c r="AY251" s="31">
        <v>4</v>
      </c>
      <c r="AZ251" s="31">
        <v>0</v>
      </c>
      <c r="BA251" s="12">
        <f t="shared" si="15"/>
        <v>16.166666666666668</v>
      </c>
      <c r="BB251" s="31">
        <v>11</v>
      </c>
      <c r="BC251" s="31">
        <v>0</v>
      </c>
      <c r="BD251" s="31">
        <v>0</v>
      </c>
      <c r="BE251" s="31">
        <v>0</v>
      </c>
      <c r="BF251" s="12">
        <f t="shared" si="16"/>
        <v>0</v>
      </c>
      <c r="BG251" s="6" t="s">
        <v>615</v>
      </c>
      <c r="BH251" s="6" t="s">
        <v>1393</v>
      </c>
      <c r="BI251" s="6">
        <v>0</v>
      </c>
      <c r="BJ251" s="23" t="s">
        <v>609</v>
      </c>
      <c r="BK251" s="23">
        <v>0</v>
      </c>
      <c r="BL251" s="23">
        <v>1</v>
      </c>
      <c r="BM251" s="23">
        <v>1</v>
      </c>
      <c r="BN251" s="23">
        <v>0</v>
      </c>
      <c r="BO251" s="6">
        <v>0</v>
      </c>
      <c r="BP251" s="6">
        <v>0</v>
      </c>
      <c r="BQ251" s="6">
        <v>0</v>
      </c>
      <c r="BR251" s="6">
        <v>0</v>
      </c>
    </row>
    <row r="252" spans="1:70" ht="52.8" customHeight="1" x14ac:dyDescent="0.3">
      <c r="A252" s="6">
        <v>648370</v>
      </c>
      <c r="B252" s="6" t="s">
        <v>46</v>
      </c>
      <c r="C252" s="15" t="s">
        <v>511</v>
      </c>
      <c r="D252" s="6" t="s">
        <v>14</v>
      </c>
      <c r="E252" s="6" t="s">
        <v>15</v>
      </c>
      <c r="F252" s="7">
        <v>42038</v>
      </c>
      <c r="G252" s="7">
        <v>42123</v>
      </c>
      <c r="H252" s="8" t="s">
        <v>94</v>
      </c>
      <c r="I252" s="3" t="s">
        <v>48</v>
      </c>
      <c r="J252" s="3" t="s">
        <v>18</v>
      </c>
      <c r="K252" t="s">
        <v>19</v>
      </c>
      <c r="L252" s="6" t="s">
        <v>695</v>
      </c>
      <c r="M252" s="14" t="s">
        <v>977</v>
      </c>
      <c r="N252" s="6" t="s">
        <v>703</v>
      </c>
      <c r="O252" s="6">
        <v>1</v>
      </c>
      <c r="P252" s="6" t="s">
        <v>735</v>
      </c>
      <c r="Q252" s="35">
        <v>1</v>
      </c>
      <c r="R252" s="35">
        <v>0</v>
      </c>
      <c r="S252" s="35">
        <v>0</v>
      </c>
      <c r="T252" s="35">
        <v>0</v>
      </c>
      <c r="U252" s="35">
        <v>0</v>
      </c>
      <c r="V252" s="35">
        <v>0</v>
      </c>
      <c r="W252" s="35">
        <v>0</v>
      </c>
      <c r="X252" s="6" t="s">
        <v>780</v>
      </c>
      <c r="Y252" s="6">
        <v>1</v>
      </c>
      <c r="Z252" s="6">
        <v>1</v>
      </c>
      <c r="AA252" s="6">
        <v>0</v>
      </c>
      <c r="AB252" s="6">
        <v>0</v>
      </c>
      <c r="AC252" s="6">
        <v>0</v>
      </c>
      <c r="AD252" s="14" t="s">
        <v>21</v>
      </c>
      <c r="AE252" s="13" t="s">
        <v>512</v>
      </c>
      <c r="AF252" s="13" t="s">
        <v>23</v>
      </c>
      <c r="AG252" s="8" t="s">
        <v>1357</v>
      </c>
      <c r="AH252" s="11">
        <v>40095</v>
      </c>
      <c r="AI252" s="10">
        <v>465</v>
      </c>
      <c r="AJ252" s="12">
        <v>25</v>
      </c>
      <c r="AK252" s="12">
        <f t="shared" si="19"/>
        <v>5.376344086021505</v>
      </c>
      <c r="AL252" s="12" t="str">
        <f t="shared" si="17"/>
        <v>Até 10%</v>
      </c>
      <c r="AM252" s="6" t="s">
        <v>1196</v>
      </c>
      <c r="AN252" s="6" t="s">
        <v>1454</v>
      </c>
      <c r="AO252" s="6" t="s">
        <v>699</v>
      </c>
      <c r="AP252" s="6">
        <v>0</v>
      </c>
      <c r="AQ252" s="6" t="s">
        <v>658</v>
      </c>
      <c r="AR252" s="6" t="s">
        <v>1399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31">
        <v>0</v>
      </c>
      <c r="AY252" s="31">
        <v>0</v>
      </c>
      <c r="AZ252" s="31">
        <v>0</v>
      </c>
      <c r="BA252" s="12">
        <f t="shared" si="15"/>
        <v>0</v>
      </c>
      <c r="BB252" s="31">
        <v>0</v>
      </c>
      <c r="BC252" s="31">
        <v>0</v>
      </c>
      <c r="BD252" s="31">
        <v>0</v>
      </c>
      <c r="BE252" s="31">
        <v>0</v>
      </c>
      <c r="BF252" s="12">
        <f t="shared" si="16"/>
        <v>0</v>
      </c>
      <c r="BG252" s="6">
        <v>0</v>
      </c>
      <c r="BH252" s="6">
        <v>0</v>
      </c>
      <c r="BI252" s="6">
        <v>0</v>
      </c>
      <c r="BJ252" s="6" t="s">
        <v>620</v>
      </c>
      <c r="BK252" s="6">
        <v>0</v>
      </c>
      <c r="BL252" s="6">
        <v>0</v>
      </c>
      <c r="BM252" s="6">
        <v>0</v>
      </c>
      <c r="BN252" s="6">
        <v>0</v>
      </c>
      <c r="BO252" s="6" t="s">
        <v>1197</v>
      </c>
      <c r="BP252" s="6" t="s">
        <v>1459</v>
      </c>
      <c r="BQ252" s="6" t="s">
        <v>1460</v>
      </c>
      <c r="BR252" s="6" t="s">
        <v>1459</v>
      </c>
    </row>
    <row r="253" spans="1:70" ht="52.8" customHeight="1" x14ac:dyDescent="0.3">
      <c r="A253" s="6">
        <v>1527885</v>
      </c>
      <c r="B253" s="6" t="s">
        <v>26</v>
      </c>
      <c r="C253" s="15" t="s">
        <v>513</v>
      </c>
      <c r="D253" s="6" t="s">
        <v>64</v>
      </c>
      <c r="E253" s="6" t="s">
        <v>15</v>
      </c>
      <c r="F253" s="7">
        <v>42123</v>
      </c>
      <c r="G253" s="7">
        <v>42339</v>
      </c>
      <c r="H253" s="8" t="s">
        <v>71</v>
      </c>
      <c r="I253" s="3" t="s">
        <v>48</v>
      </c>
      <c r="J253" s="3" t="s">
        <v>18</v>
      </c>
      <c r="K253" t="s">
        <v>19</v>
      </c>
      <c r="L253" s="6" t="s">
        <v>695</v>
      </c>
      <c r="M253" s="14" t="s">
        <v>724</v>
      </c>
      <c r="N253" s="6" t="s">
        <v>657</v>
      </c>
      <c r="O253" s="6">
        <v>0</v>
      </c>
      <c r="P253" s="6" t="s">
        <v>735</v>
      </c>
      <c r="Q253" s="35">
        <v>1</v>
      </c>
      <c r="R253" s="35">
        <v>0</v>
      </c>
      <c r="S253" s="35">
        <v>0</v>
      </c>
      <c r="T253" s="35">
        <v>0</v>
      </c>
      <c r="U253" s="35">
        <v>0</v>
      </c>
      <c r="V253" s="35">
        <v>0</v>
      </c>
      <c r="W253" s="35">
        <v>0</v>
      </c>
      <c r="X253" s="6" t="s">
        <v>780</v>
      </c>
      <c r="Y253" s="6">
        <v>1</v>
      </c>
      <c r="Z253" s="6">
        <v>1</v>
      </c>
      <c r="AA253" s="6">
        <v>0</v>
      </c>
      <c r="AB253" s="6">
        <v>0</v>
      </c>
      <c r="AC253" s="6">
        <v>0</v>
      </c>
      <c r="AD253" s="14" t="s">
        <v>21</v>
      </c>
      <c r="AE253" s="13" t="s">
        <v>514</v>
      </c>
      <c r="AF253" s="13" t="s">
        <v>66</v>
      </c>
      <c r="AG253" s="8" t="s">
        <v>1357</v>
      </c>
      <c r="AH253" s="11">
        <v>41084</v>
      </c>
      <c r="AI253" s="10">
        <v>622</v>
      </c>
      <c r="AJ253" s="12">
        <v>195</v>
      </c>
      <c r="AK253" s="12">
        <f t="shared" si="19"/>
        <v>31.350482315112536</v>
      </c>
      <c r="AL253" s="12" t="str">
        <f t="shared" si="17"/>
        <v>25% a 50%</v>
      </c>
      <c r="AM253" s="6" t="s">
        <v>1198</v>
      </c>
      <c r="AN253" s="6" t="s">
        <v>1454</v>
      </c>
      <c r="AO253" s="6" t="s">
        <v>699</v>
      </c>
      <c r="AP253" s="6">
        <v>0</v>
      </c>
      <c r="AQ253" s="6" t="s">
        <v>952</v>
      </c>
      <c r="AR253" s="6" t="s">
        <v>1403</v>
      </c>
      <c r="AS253" s="6">
        <v>1</v>
      </c>
      <c r="AT253" s="6">
        <v>0</v>
      </c>
      <c r="AU253" s="6">
        <v>0</v>
      </c>
      <c r="AV253" s="6">
        <v>0</v>
      </c>
      <c r="AW253" s="6" t="s">
        <v>862</v>
      </c>
      <c r="AX253" s="31">
        <v>0</v>
      </c>
      <c r="AY253" s="31">
        <v>8</v>
      </c>
      <c r="AZ253" s="31">
        <v>0</v>
      </c>
      <c r="BA253" s="12">
        <f t="shared" si="15"/>
        <v>8</v>
      </c>
      <c r="BB253" s="31">
        <v>3</v>
      </c>
      <c r="BC253" s="31">
        <v>0</v>
      </c>
      <c r="BD253" s="31">
        <v>0</v>
      </c>
      <c r="BE253" s="31">
        <v>0</v>
      </c>
      <c r="BF253" s="12">
        <f t="shared" si="16"/>
        <v>0</v>
      </c>
      <c r="BG253" s="6" t="s">
        <v>636</v>
      </c>
      <c r="BH253" s="6" t="s">
        <v>1394</v>
      </c>
      <c r="BI253" s="6">
        <v>1</v>
      </c>
      <c r="BJ253" s="6" t="s">
        <v>609</v>
      </c>
      <c r="BK253" s="6">
        <v>0</v>
      </c>
      <c r="BL253" s="6">
        <v>0</v>
      </c>
      <c r="BM253" s="6">
        <v>0</v>
      </c>
      <c r="BN253" s="6">
        <v>0</v>
      </c>
      <c r="BO253" s="6">
        <v>0</v>
      </c>
      <c r="BP253" s="6">
        <v>0</v>
      </c>
      <c r="BQ253" s="6">
        <v>0</v>
      </c>
      <c r="BR253" s="6">
        <v>0</v>
      </c>
    </row>
    <row r="254" spans="1:70" ht="52.8" customHeight="1" x14ac:dyDescent="0.3">
      <c r="A254" s="6">
        <v>648159</v>
      </c>
      <c r="B254" s="6" t="s">
        <v>13</v>
      </c>
      <c r="C254" s="15" t="s">
        <v>1199</v>
      </c>
      <c r="D254" s="6" t="s">
        <v>64</v>
      </c>
      <c r="E254" s="6" t="s">
        <v>15</v>
      </c>
      <c r="F254" s="7">
        <v>42038</v>
      </c>
      <c r="G254" s="7">
        <v>42264</v>
      </c>
      <c r="H254" s="8" t="s">
        <v>57</v>
      </c>
      <c r="I254" s="3" t="s">
        <v>17</v>
      </c>
      <c r="J254" s="3" t="s">
        <v>18</v>
      </c>
      <c r="K254" t="s">
        <v>19</v>
      </c>
      <c r="L254" s="6" t="s">
        <v>696</v>
      </c>
      <c r="M254" s="14" t="s">
        <v>626</v>
      </c>
      <c r="N254" s="6" t="s">
        <v>703</v>
      </c>
      <c r="O254" s="6">
        <v>1</v>
      </c>
      <c r="P254" s="6" t="s">
        <v>1200</v>
      </c>
      <c r="Q254" s="35">
        <v>1</v>
      </c>
      <c r="R254" s="35">
        <v>0</v>
      </c>
      <c r="S254" s="35">
        <v>0</v>
      </c>
      <c r="T254" s="35">
        <v>0</v>
      </c>
      <c r="U254" s="35">
        <v>1</v>
      </c>
      <c r="V254" s="35">
        <v>0</v>
      </c>
      <c r="W254" s="35">
        <v>0</v>
      </c>
      <c r="X254" s="6" t="s">
        <v>780</v>
      </c>
      <c r="Y254" s="6">
        <v>1</v>
      </c>
      <c r="Z254" s="6">
        <v>1</v>
      </c>
      <c r="AA254" s="6">
        <v>0</v>
      </c>
      <c r="AB254" s="6">
        <v>0</v>
      </c>
      <c r="AC254" s="6">
        <v>0</v>
      </c>
      <c r="AD254" s="14" t="s">
        <v>43</v>
      </c>
      <c r="AE254" s="13" t="s">
        <v>515</v>
      </c>
      <c r="AF254" s="13" t="s">
        <v>1201</v>
      </c>
      <c r="AG254" s="8" t="s">
        <v>1357</v>
      </c>
      <c r="AH254" s="11">
        <v>40328</v>
      </c>
      <c r="AI254" s="10">
        <v>510</v>
      </c>
      <c r="AJ254" s="12">
        <v>75</v>
      </c>
      <c r="AK254" s="12">
        <f t="shared" si="19"/>
        <v>14.705882352941178</v>
      </c>
      <c r="AL254" s="12" t="str">
        <f t="shared" si="17"/>
        <v>10% a 25%</v>
      </c>
      <c r="AM254" s="6" t="s">
        <v>622</v>
      </c>
      <c r="AN254" s="6" t="s">
        <v>622</v>
      </c>
      <c r="AO254" s="6" t="s">
        <v>701</v>
      </c>
      <c r="AP254" s="6">
        <v>1</v>
      </c>
      <c r="AQ254" s="6" t="s">
        <v>682</v>
      </c>
      <c r="AR254" s="6" t="s">
        <v>1400</v>
      </c>
      <c r="AS254" s="6">
        <v>1</v>
      </c>
      <c r="AT254" s="6">
        <v>0</v>
      </c>
      <c r="AU254" s="6">
        <v>0</v>
      </c>
      <c r="AV254" s="6">
        <v>0</v>
      </c>
      <c r="AW254" s="6" t="s">
        <v>652</v>
      </c>
      <c r="AX254" s="31">
        <v>2</v>
      </c>
      <c r="AY254" s="31">
        <v>0</v>
      </c>
      <c r="AZ254" s="31">
        <v>0</v>
      </c>
      <c r="BA254" s="12">
        <f t="shared" si="15"/>
        <v>24.333333333333332</v>
      </c>
      <c r="BB254" s="31">
        <v>10</v>
      </c>
      <c r="BC254" s="31">
        <v>0</v>
      </c>
      <c r="BD254" s="31">
        <v>0</v>
      </c>
      <c r="BE254" s="31">
        <v>0</v>
      </c>
      <c r="BF254" s="12">
        <f t="shared" si="16"/>
        <v>0</v>
      </c>
      <c r="BG254" s="6" t="s">
        <v>636</v>
      </c>
      <c r="BH254" s="6" t="s">
        <v>1394</v>
      </c>
      <c r="BI254" s="6">
        <v>1</v>
      </c>
      <c r="BJ254" s="6" t="s">
        <v>609</v>
      </c>
      <c r="BK254" s="6">
        <v>0</v>
      </c>
      <c r="BL254" s="6">
        <v>0</v>
      </c>
      <c r="BM254" s="6">
        <v>0</v>
      </c>
      <c r="BN254" s="6">
        <v>0</v>
      </c>
      <c r="BO254" s="6" t="s">
        <v>1202</v>
      </c>
      <c r="BP254" s="6" t="s">
        <v>1461</v>
      </c>
      <c r="BQ254" s="6" t="s">
        <v>1461</v>
      </c>
      <c r="BR254" s="6" t="s">
        <v>1459</v>
      </c>
    </row>
    <row r="255" spans="1:70" ht="52.8" customHeight="1" x14ac:dyDescent="0.3">
      <c r="A255" s="6">
        <v>312427</v>
      </c>
      <c r="B255" s="6" t="s">
        <v>24</v>
      </c>
      <c r="C255" s="15" t="s">
        <v>516</v>
      </c>
      <c r="D255" s="6" t="s">
        <v>14</v>
      </c>
      <c r="E255" s="6" t="s">
        <v>15</v>
      </c>
      <c r="F255" s="7">
        <v>41989</v>
      </c>
      <c r="G255" s="7">
        <v>42460</v>
      </c>
      <c r="H255" s="8" t="s">
        <v>16</v>
      </c>
      <c r="I255" s="3" t="s">
        <v>17</v>
      </c>
      <c r="J255" s="3" t="s">
        <v>18</v>
      </c>
      <c r="K255" t="s">
        <v>19</v>
      </c>
      <c r="L255" s="6" t="s">
        <v>695</v>
      </c>
      <c r="M255" s="14" t="s">
        <v>990</v>
      </c>
      <c r="N255" s="6" t="s">
        <v>703</v>
      </c>
      <c r="O255" s="6">
        <v>1</v>
      </c>
      <c r="P255" s="6" t="s">
        <v>735</v>
      </c>
      <c r="Q255" s="35">
        <v>1</v>
      </c>
      <c r="R255" s="35">
        <v>0</v>
      </c>
      <c r="S255" s="35">
        <v>0</v>
      </c>
      <c r="T255" s="35">
        <v>0</v>
      </c>
      <c r="U255" s="35">
        <v>0</v>
      </c>
      <c r="V255" s="35">
        <v>0</v>
      </c>
      <c r="W255" s="35">
        <v>0</v>
      </c>
      <c r="X255" s="6" t="s">
        <v>780</v>
      </c>
      <c r="Y255" s="6">
        <v>1</v>
      </c>
      <c r="Z255" s="6">
        <v>1</v>
      </c>
      <c r="AA255" s="6">
        <v>0</v>
      </c>
      <c r="AB255" s="6">
        <v>0</v>
      </c>
      <c r="AC255" s="6">
        <v>0</v>
      </c>
      <c r="AD255" s="14" t="s">
        <v>21</v>
      </c>
      <c r="AE255" s="13" t="s">
        <v>517</v>
      </c>
      <c r="AF255" s="13" t="s">
        <v>23</v>
      </c>
      <c r="AG255" s="8" t="s">
        <v>1357</v>
      </c>
      <c r="AH255" s="11">
        <v>41562</v>
      </c>
      <c r="AI255" s="10">
        <v>678</v>
      </c>
      <c r="AJ255" s="12">
        <v>70.8</v>
      </c>
      <c r="AK255" s="12">
        <f t="shared" si="19"/>
        <v>10.442477876106194</v>
      </c>
      <c r="AL255" s="12" t="str">
        <f t="shared" si="17"/>
        <v>10% a 25%</v>
      </c>
      <c r="AM255" s="6" t="s">
        <v>1204</v>
      </c>
      <c r="AN255" s="6" t="s">
        <v>1454</v>
      </c>
      <c r="AO255" s="6" t="s">
        <v>699</v>
      </c>
      <c r="AP255" s="6">
        <v>0</v>
      </c>
      <c r="AQ255" s="6" t="s">
        <v>658</v>
      </c>
      <c r="AR255" s="6" t="s">
        <v>1399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31">
        <v>0</v>
      </c>
      <c r="AY255" s="31">
        <v>0</v>
      </c>
      <c r="AZ255" s="31">
        <v>0</v>
      </c>
      <c r="BA255" s="12">
        <f t="shared" si="15"/>
        <v>0</v>
      </c>
      <c r="BB255" s="31">
        <v>0</v>
      </c>
      <c r="BC255" s="31">
        <v>0</v>
      </c>
      <c r="BD255" s="31">
        <v>0</v>
      </c>
      <c r="BE255" s="31">
        <v>0</v>
      </c>
      <c r="BF255" s="12">
        <f t="shared" si="16"/>
        <v>0</v>
      </c>
      <c r="BG255" s="6">
        <v>0</v>
      </c>
      <c r="BH255" s="6">
        <v>0</v>
      </c>
      <c r="BI255" s="6">
        <v>0</v>
      </c>
      <c r="BJ255" s="6" t="s">
        <v>620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</row>
    <row r="256" spans="1:70" ht="52.8" customHeight="1" x14ac:dyDescent="0.3">
      <c r="A256" s="6">
        <v>678031</v>
      </c>
      <c r="B256" s="6" t="s">
        <v>46</v>
      </c>
      <c r="C256" s="15" t="s">
        <v>518</v>
      </c>
      <c r="D256" s="6" t="s">
        <v>41</v>
      </c>
      <c r="E256" s="6" t="s">
        <v>15</v>
      </c>
      <c r="F256" s="7">
        <v>42088</v>
      </c>
      <c r="G256" s="7">
        <v>42215</v>
      </c>
      <c r="H256" s="8" t="s">
        <v>16</v>
      </c>
      <c r="I256" s="3" t="s">
        <v>17</v>
      </c>
      <c r="J256" s="3" t="s">
        <v>18</v>
      </c>
      <c r="K256" t="s">
        <v>19</v>
      </c>
      <c r="L256" s="6" t="s">
        <v>695</v>
      </c>
      <c r="M256" s="14" t="s">
        <v>626</v>
      </c>
      <c r="N256" s="6" t="s">
        <v>657</v>
      </c>
      <c r="O256" s="6">
        <v>0</v>
      </c>
      <c r="P256" s="6" t="s">
        <v>735</v>
      </c>
      <c r="Q256" s="35">
        <v>1</v>
      </c>
      <c r="R256" s="35">
        <v>0</v>
      </c>
      <c r="S256" s="35">
        <v>0</v>
      </c>
      <c r="T256" s="35">
        <v>0</v>
      </c>
      <c r="U256" s="35">
        <v>0</v>
      </c>
      <c r="V256" s="35">
        <v>0</v>
      </c>
      <c r="W256" s="35">
        <v>0</v>
      </c>
      <c r="X256" s="6" t="s">
        <v>780</v>
      </c>
      <c r="Y256" s="6">
        <v>1</v>
      </c>
      <c r="Z256" s="6">
        <v>1</v>
      </c>
      <c r="AA256" s="6">
        <v>0</v>
      </c>
      <c r="AB256" s="6">
        <v>0</v>
      </c>
      <c r="AC256" s="6">
        <v>0</v>
      </c>
      <c r="AD256" s="14" t="s">
        <v>21</v>
      </c>
      <c r="AE256" s="13" t="s">
        <v>179</v>
      </c>
      <c r="AF256" s="13" t="s">
        <v>45</v>
      </c>
      <c r="AG256" s="8" t="s">
        <v>1357</v>
      </c>
      <c r="AH256" s="11">
        <v>41115</v>
      </c>
      <c r="AI256" s="10">
        <v>622</v>
      </c>
      <c r="AJ256" s="12">
        <v>150</v>
      </c>
      <c r="AK256" s="12">
        <f t="shared" si="19"/>
        <v>24.115755627009648</v>
      </c>
      <c r="AL256" s="12" t="str">
        <f t="shared" si="17"/>
        <v>10% a 25%</v>
      </c>
      <c r="AM256" s="6" t="s">
        <v>786</v>
      </c>
      <c r="AN256" s="6" t="s">
        <v>1455</v>
      </c>
      <c r="AO256" s="6" t="s">
        <v>701</v>
      </c>
      <c r="AP256" s="6">
        <v>1</v>
      </c>
      <c r="AQ256" s="6" t="s">
        <v>785</v>
      </c>
      <c r="AR256" s="6" t="s">
        <v>1401</v>
      </c>
      <c r="AS256" s="6">
        <v>1</v>
      </c>
      <c r="AT256" s="6">
        <v>0</v>
      </c>
      <c r="AU256" s="6">
        <v>0</v>
      </c>
      <c r="AV256" s="6">
        <v>0</v>
      </c>
      <c r="AW256" s="6" t="s">
        <v>741</v>
      </c>
      <c r="AX256" s="31">
        <v>0</v>
      </c>
      <c r="AY256" s="31">
        <v>8</v>
      </c>
      <c r="AZ256" s="31">
        <v>0</v>
      </c>
      <c r="BA256" s="12">
        <f t="shared" si="15"/>
        <v>8</v>
      </c>
      <c r="BB256" s="31">
        <v>10</v>
      </c>
      <c r="BC256" s="31">
        <v>0</v>
      </c>
      <c r="BD256" s="31">
        <v>0</v>
      </c>
      <c r="BE256" s="31">
        <v>0</v>
      </c>
      <c r="BF256" s="12">
        <f t="shared" si="16"/>
        <v>0</v>
      </c>
      <c r="BG256" s="6" t="s">
        <v>636</v>
      </c>
      <c r="BH256" s="6" t="s">
        <v>1394</v>
      </c>
      <c r="BI256" s="6">
        <v>1</v>
      </c>
      <c r="BJ256" s="6" t="s">
        <v>609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</row>
    <row r="257" spans="1:70" ht="52.8" customHeight="1" x14ac:dyDescent="0.3">
      <c r="A257" s="6">
        <v>1468879</v>
      </c>
      <c r="B257" s="6" t="s">
        <v>102</v>
      </c>
      <c r="C257" s="15" t="s">
        <v>1206</v>
      </c>
      <c r="D257" s="6" t="s">
        <v>41</v>
      </c>
      <c r="E257" s="6" t="s">
        <v>15</v>
      </c>
      <c r="F257" s="7">
        <v>41848</v>
      </c>
      <c r="G257" s="7">
        <v>42244</v>
      </c>
      <c r="H257" s="8" t="s">
        <v>71</v>
      </c>
      <c r="I257" s="3" t="s">
        <v>48</v>
      </c>
      <c r="J257" s="3" t="s">
        <v>18</v>
      </c>
      <c r="K257" t="s">
        <v>19</v>
      </c>
      <c r="L257" s="6" t="s">
        <v>695</v>
      </c>
      <c r="M257" s="14" t="s">
        <v>977</v>
      </c>
      <c r="N257" s="6" t="s">
        <v>703</v>
      </c>
      <c r="O257" s="6">
        <v>1</v>
      </c>
      <c r="P257" s="6" t="s">
        <v>735</v>
      </c>
      <c r="Q257" s="35">
        <v>1</v>
      </c>
      <c r="R257" s="35">
        <v>0</v>
      </c>
      <c r="S257" s="35">
        <v>0</v>
      </c>
      <c r="T257" s="35">
        <v>0</v>
      </c>
      <c r="U257" s="35">
        <v>0</v>
      </c>
      <c r="V257" s="35">
        <v>0</v>
      </c>
      <c r="W257" s="35">
        <v>0</v>
      </c>
      <c r="X257" s="6" t="s">
        <v>780</v>
      </c>
      <c r="Y257" s="6">
        <v>1</v>
      </c>
      <c r="Z257" s="6">
        <v>1</v>
      </c>
      <c r="AA257" s="6">
        <v>0</v>
      </c>
      <c r="AB257" s="6">
        <v>0</v>
      </c>
      <c r="AC257" s="6">
        <v>0</v>
      </c>
      <c r="AD257" s="14" t="s">
        <v>21</v>
      </c>
      <c r="AE257" s="13" t="s">
        <v>519</v>
      </c>
      <c r="AF257" s="13" t="s">
        <v>45</v>
      </c>
      <c r="AG257" s="8" t="s">
        <v>1357</v>
      </c>
      <c r="AH257" s="11">
        <v>40089</v>
      </c>
      <c r="AI257" s="10">
        <v>465</v>
      </c>
      <c r="AJ257" s="12">
        <v>68.650000000000006</v>
      </c>
      <c r="AK257" s="12">
        <f t="shared" si="19"/>
        <v>14.763440860215054</v>
      </c>
      <c r="AL257" s="12" t="str">
        <f t="shared" si="17"/>
        <v>10% a 25%</v>
      </c>
      <c r="AM257" s="6" t="s">
        <v>737</v>
      </c>
      <c r="AN257" s="6" t="s">
        <v>1454</v>
      </c>
      <c r="AO257" s="6" t="s">
        <v>699</v>
      </c>
      <c r="AP257" s="6">
        <v>0</v>
      </c>
      <c r="AQ257" s="6" t="s">
        <v>810</v>
      </c>
      <c r="AR257" s="6" t="s">
        <v>1400</v>
      </c>
      <c r="AS257" s="6">
        <v>1</v>
      </c>
      <c r="AT257" s="6">
        <v>0</v>
      </c>
      <c r="AU257" s="6">
        <v>0</v>
      </c>
      <c r="AV257" s="6">
        <v>0</v>
      </c>
      <c r="AW257" s="6">
        <v>0</v>
      </c>
      <c r="AX257" s="31">
        <v>0</v>
      </c>
      <c r="AY257" s="31"/>
      <c r="AZ257" s="31">
        <v>0</v>
      </c>
      <c r="BA257" s="12">
        <f t="shared" si="15"/>
        <v>0</v>
      </c>
      <c r="BB257" s="31">
        <v>0</v>
      </c>
      <c r="BC257" s="31">
        <v>0</v>
      </c>
      <c r="BD257" s="31">
        <v>0</v>
      </c>
      <c r="BE257" s="31">
        <v>0</v>
      </c>
      <c r="BF257" s="12">
        <f t="shared" si="16"/>
        <v>0</v>
      </c>
      <c r="BG257" s="6">
        <v>0</v>
      </c>
      <c r="BH257" s="6">
        <v>0</v>
      </c>
      <c r="BI257" s="6">
        <v>0</v>
      </c>
      <c r="BJ257" s="6" t="s">
        <v>620</v>
      </c>
      <c r="BK257" s="6">
        <v>0</v>
      </c>
      <c r="BL257" s="6">
        <v>1</v>
      </c>
      <c r="BM257" s="6">
        <v>0</v>
      </c>
      <c r="BN257" s="6">
        <v>1</v>
      </c>
      <c r="BO257" s="6" t="s">
        <v>1235</v>
      </c>
      <c r="BP257" s="6" t="s">
        <v>1459</v>
      </c>
      <c r="BQ257" s="6" t="s">
        <v>1460</v>
      </c>
      <c r="BR257" s="6" t="s">
        <v>1459</v>
      </c>
    </row>
    <row r="258" spans="1:70" ht="52.8" customHeight="1" x14ac:dyDescent="0.3">
      <c r="A258" s="6">
        <v>655665</v>
      </c>
      <c r="B258" s="6" t="s">
        <v>46</v>
      </c>
      <c r="C258" s="15" t="s">
        <v>520</v>
      </c>
      <c r="D258" s="6" t="s">
        <v>55</v>
      </c>
      <c r="E258" s="6" t="s">
        <v>15</v>
      </c>
      <c r="F258" s="7">
        <v>42048</v>
      </c>
      <c r="G258" s="7">
        <v>42114</v>
      </c>
      <c r="H258" s="8" t="s">
        <v>52</v>
      </c>
      <c r="I258" s="3" t="s">
        <v>17</v>
      </c>
      <c r="J258" s="3" t="s">
        <v>18</v>
      </c>
      <c r="K258" t="s">
        <v>19</v>
      </c>
      <c r="L258" s="6" t="s">
        <v>695</v>
      </c>
      <c r="M258" s="14" t="s">
        <v>626</v>
      </c>
      <c r="N258" s="6" t="s">
        <v>657</v>
      </c>
      <c r="O258" s="6">
        <v>0</v>
      </c>
      <c r="P258" s="6" t="s">
        <v>735</v>
      </c>
      <c r="Q258" s="35">
        <v>1</v>
      </c>
      <c r="R258" s="35">
        <v>0</v>
      </c>
      <c r="S258" s="35">
        <v>0</v>
      </c>
      <c r="T258" s="35">
        <v>0</v>
      </c>
      <c r="U258" s="35">
        <v>0</v>
      </c>
      <c r="V258" s="35">
        <v>0</v>
      </c>
      <c r="W258" s="35">
        <v>0</v>
      </c>
      <c r="X258" s="6" t="s">
        <v>971</v>
      </c>
      <c r="Y258" s="6">
        <v>1</v>
      </c>
      <c r="Z258" s="6">
        <v>0</v>
      </c>
      <c r="AA258" s="6">
        <v>0</v>
      </c>
      <c r="AB258" s="6">
        <v>0</v>
      </c>
      <c r="AC258" s="6">
        <v>1</v>
      </c>
      <c r="AD258" s="14" t="s">
        <v>21</v>
      </c>
      <c r="AE258" s="13" t="s">
        <v>451</v>
      </c>
      <c r="AF258" s="13" t="s">
        <v>976</v>
      </c>
      <c r="AG258" s="8" t="s">
        <v>1357</v>
      </c>
      <c r="AH258" s="11">
        <v>41534</v>
      </c>
      <c r="AI258" s="10">
        <v>678</v>
      </c>
      <c r="AJ258" s="12">
        <v>166.62</v>
      </c>
      <c r="AK258" s="12">
        <f t="shared" si="19"/>
        <v>24.575221238938052</v>
      </c>
      <c r="AL258" s="12" t="str">
        <f t="shared" si="17"/>
        <v>10% a 25%</v>
      </c>
      <c r="AM258" s="6" t="s">
        <v>1132</v>
      </c>
      <c r="AN258" s="6" t="s">
        <v>616</v>
      </c>
      <c r="AO258" s="6" t="s">
        <v>699</v>
      </c>
      <c r="AP258" s="6">
        <v>0</v>
      </c>
      <c r="AQ258" s="6" t="s">
        <v>785</v>
      </c>
      <c r="AR258" s="6" t="s">
        <v>1401</v>
      </c>
      <c r="AS258" s="6">
        <v>1</v>
      </c>
      <c r="AT258" s="6">
        <v>0</v>
      </c>
      <c r="AU258" s="6">
        <v>0</v>
      </c>
      <c r="AV258" s="6">
        <v>0</v>
      </c>
      <c r="AW258" s="6" t="s">
        <v>818</v>
      </c>
      <c r="AX258" s="31">
        <v>0</v>
      </c>
      <c r="AY258" s="31">
        <v>4</v>
      </c>
      <c r="AZ258" s="31">
        <v>0</v>
      </c>
      <c r="BA258" s="12">
        <f t="shared" si="15"/>
        <v>4</v>
      </c>
      <c r="BB258" s="31">
        <v>3</v>
      </c>
      <c r="BC258" s="31">
        <v>0</v>
      </c>
      <c r="BD258" s="31">
        <v>0</v>
      </c>
      <c r="BE258" s="31">
        <v>0</v>
      </c>
      <c r="BF258" s="12">
        <f t="shared" si="16"/>
        <v>0</v>
      </c>
      <c r="BG258" s="6" t="s">
        <v>636</v>
      </c>
      <c r="BH258" s="6" t="s">
        <v>1394</v>
      </c>
      <c r="BI258" s="6">
        <v>1</v>
      </c>
      <c r="BJ258" s="6" t="s">
        <v>609</v>
      </c>
      <c r="BK258" s="6">
        <v>0</v>
      </c>
      <c r="BL258" s="6">
        <v>0</v>
      </c>
      <c r="BM258" s="6">
        <v>0</v>
      </c>
      <c r="BN258" s="6">
        <v>1</v>
      </c>
      <c r="BO258" s="6">
        <v>0</v>
      </c>
      <c r="BP258" s="6">
        <v>0</v>
      </c>
      <c r="BQ258" s="6">
        <v>0</v>
      </c>
      <c r="BR258" s="6">
        <v>0</v>
      </c>
    </row>
    <row r="259" spans="1:70" ht="52.8" customHeight="1" x14ac:dyDescent="0.3">
      <c r="A259" s="6">
        <v>858919</v>
      </c>
      <c r="B259" s="6" t="s">
        <v>46</v>
      </c>
      <c r="C259" s="15" t="s">
        <v>521</v>
      </c>
      <c r="D259" s="6" t="s">
        <v>14</v>
      </c>
      <c r="E259" s="6" t="s">
        <v>15</v>
      </c>
      <c r="F259" s="7">
        <v>42423</v>
      </c>
      <c r="G259" s="7">
        <v>43185</v>
      </c>
      <c r="H259" s="8" t="s">
        <v>42</v>
      </c>
      <c r="I259" s="3" t="s">
        <v>48</v>
      </c>
      <c r="J259" s="3" t="s">
        <v>18</v>
      </c>
      <c r="K259" t="s">
        <v>19</v>
      </c>
      <c r="L259" s="6" t="s">
        <v>696</v>
      </c>
      <c r="M259" s="14" t="s">
        <v>626</v>
      </c>
      <c r="N259" s="6" t="s">
        <v>657</v>
      </c>
      <c r="O259" s="6">
        <v>0</v>
      </c>
      <c r="P259" s="6" t="s">
        <v>935</v>
      </c>
      <c r="Q259" s="35">
        <v>0</v>
      </c>
      <c r="R259" s="35">
        <v>0</v>
      </c>
      <c r="S259" s="35">
        <v>0</v>
      </c>
      <c r="T259" s="35">
        <v>1</v>
      </c>
      <c r="U259" s="35">
        <v>0</v>
      </c>
      <c r="V259" s="35">
        <v>0</v>
      </c>
      <c r="W259" s="35">
        <v>0</v>
      </c>
      <c r="X259" s="6" t="s">
        <v>801</v>
      </c>
      <c r="Y259" s="6">
        <v>1</v>
      </c>
      <c r="Z259" s="6">
        <v>0</v>
      </c>
      <c r="AA259" s="6">
        <v>0</v>
      </c>
      <c r="AB259" s="6">
        <v>1</v>
      </c>
      <c r="AC259" s="6">
        <v>0</v>
      </c>
      <c r="AD259" s="14" t="s">
        <v>21</v>
      </c>
      <c r="AE259" s="13" t="s">
        <v>522</v>
      </c>
      <c r="AF259" s="13" t="s">
        <v>23</v>
      </c>
      <c r="AG259" s="8" t="s">
        <v>1357</v>
      </c>
      <c r="AH259" s="11">
        <v>41377</v>
      </c>
      <c r="AI259" s="10">
        <v>678</v>
      </c>
      <c r="AJ259" s="12">
        <v>37</v>
      </c>
      <c r="AK259" s="12">
        <f t="shared" si="19"/>
        <v>5.4572271386430682</v>
      </c>
      <c r="AL259" s="12" t="str">
        <f t="shared" si="17"/>
        <v>Até 10%</v>
      </c>
      <c r="AM259" s="6" t="s">
        <v>1207</v>
      </c>
      <c r="AN259" s="6" t="s">
        <v>1454</v>
      </c>
      <c r="AO259" s="6" t="s">
        <v>701</v>
      </c>
      <c r="AP259" s="6">
        <v>1</v>
      </c>
      <c r="AQ259" s="6" t="s">
        <v>682</v>
      </c>
      <c r="AR259" s="6" t="s">
        <v>1400</v>
      </c>
      <c r="AS259" s="6">
        <v>1</v>
      </c>
      <c r="AT259" s="6">
        <v>0</v>
      </c>
      <c r="AU259" s="6">
        <v>0</v>
      </c>
      <c r="AV259" s="6">
        <v>0</v>
      </c>
      <c r="AW259" s="6" t="s">
        <v>984</v>
      </c>
      <c r="AX259" s="31">
        <v>2</v>
      </c>
      <c r="AY259" s="31">
        <v>8</v>
      </c>
      <c r="AZ259" s="31">
        <v>20</v>
      </c>
      <c r="BA259" s="12">
        <f t="shared" ref="BA259:BA305" si="20">(AX259*365+AY259*30+AZ259)/30</f>
        <v>33</v>
      </c>
      <c r="BB259" s="31">
        <v>12</v>
      </c>
      <c r="BC259" s="31">
        <v>0</v>
      </c>
      <c r="BD259" s="31">
        <v>0</v>
      </c>
      <c r="BE259" s="31">
        <v>0</v>
      </c>
      <c r="BF259" s="12">
        <f t="shared" ref="BF259:BF305" si="21">(BC259*365+BD259*30+BE259)/30</f>
        <v>0</v>
      </c>
      <c r="BG259" s="6" t="s">
        <v>611</v>
      </c>
      <c r="BH259" s="6" t="s">
        <v>1392</v>
      </c>
      <c r="BI259" s="6">
        <v>0</v>
      </c>
      <c r="BJ259" s="6" t="s">
        <v>609</v>
      </c>
      <c r="BK259" s="6">
        <v>0</v>
      </c>
      <c r="BL259" s="6">
        <v>1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</row>
    <row r="260" spans="1:70" ht="52.8" customHeight="1" x14ac:dyDescent="0.3">
      <c r="A260" s="6">
        <v>311145</v>
      </c>
      <c r="B260" s="6" t="s">
        <v>13</v>
      </c>
      <c r="C260" s="15" t="s">
        <v>1208</v>
      </c>
      <c r="D260" s="6" t="s">
        <v>106</v>
      </c>
      <c r="E260" s="6" t="s">
        <v>15</v>
      </c>
      <c r="F260" s="7">
        <v>41975</v>
      </c>
      <c r="G260" s="7">
        <v>42110</v>
      </c>
      <c r="H260" s="8" t="s">
        <v>111</v>
      </c>
      <c r="I260" s="3" t="s">
        <v>17</v>
      </c>
      <c r="J260" s="3" t="s">
        <v>18</v>
      </c>
      <c r="K260" t="s">
        <v>19</v>
      </c>
      <c r="L260" s="6" t="s">
        <v>696</v>
      </c>
      <c r="M260" s="14" t="s">
        <v>626</v>
      </c>
      <c r="N260" s="6" t="s">
        <v>657</v>
      </c>
      <c r="O260" s="6">
        <v>0</v>
      </c>
      <c r="P260" s="6" t="s">
        <v>1209</v>
      </c>
      <c r="Q260" s="35">
        <v>1</v>
      </c>
      <c r="R260" s="35">
        <v>1</v>
      </c>
      <c r="S260" s="35">
        <v>0</v>
      </c>
      <c r="T260" s="35">
        <v>0</v>
      </c>
      <c r="U260" s="35">
        <v>0</v>
      </c>
      <c r="V260" s="35">
        <v>0</v>
      </c>
      <c r="W260" s="35">
        <v>0</v>
      </c>
      <c r="X260" s="6" t="s">
        <v>801</v>
      </c>
      <c r="Y260" s="6">
        <v>1</v>
      </c>
      <c r="Z260" s="6">
        <v>0</v>
      </c>
      <c r="AA260" s="6">
        <v>0</v>
      </c>
      <c r="AB260" s="6">
        <v>1</v>
      </c>
      <c r="AC260" s="6">
        <v>0</v>
      </c>
      <c r="AD260" s="14" t="s">
        <v>43</v>
      </c>
      <c r="AE260" s="13" t="s">
        <v>280</v>
      </c>
      <c r="AF260" s="13" t="s">
        <v>194</v>
      </c>
      <c r="AG260" s="8" t="s">
        <v>194</v>
      </c>
      <c r="AH260" s="11">
        <v>41629</v>
      </c>
      <c r="AI260" s="10">
        <v>678</v>
      </c>
      <c r="AJ260" s="12">
        <v>250</v>
      </c>
      <c r="AK260" s="12">
        <f t="shared" si="19"/>
        <v>36.873156342182888</v>
      </c>
      <c r="AL260" s="12" t="str">
        <f t="shared" si="17"/>
        <v>25% a 50%</v>
      </c>
      <c r="AM260" s="6" t="s">
        <v>618</v>
      </c>
      <c r="AN260" s="6" t="s">
        <v>618</v>
      </c>
      <c r="AO260" s="6" t="s">
        <v>701</v>
      </c>
      <c r="AP260" s="6">
        <v>1</v>
      </c>
      <c r="AQ260" s="6" t="s">
        <v>613</v>
      </c>
      <c r="AR260" s="6" t="s">
        <v>1399</v>
      </c>
      <c r="AS260" s="6">
        <v>1</v>
      </c>
      <c r="AT260" s="6">
        <v>0</v>
      </c>
      <c r="AU260" s="6">
        <v>0</v>
      </c>
      <c r="AV260" s="6">
        <v>0</v>
      </c>
      <c r="AW260" s="6" t="s">
        <v>1210</v>
      </c>
      <c r="AX260" s="31">
        <v>1</v>
      </c>
      <c r="AY260" s="31">
        <v>3</v>
      </c>
      <c r="AZ260" s="31">
        <v>20</v>
      </c>
      <c r="BA260" s="12">
        <f t="shared" si="20"/>
        <v>15.833333333333334</v>
      </c>
      <c r="BB260" s="31">
        <v>12</v>
      </c>
      <c r="BC260" s="31">
        <v>0</v>
      </c>
      <c r="BD260" s="31">
        <v>0</v>
      </c>
      <c r="BE260" s="31">
        <v>0</v>
      </c>
      <c r="BF260" s="12">
        <f t="shared" si="21"/>
        <v>0</v>
      </c>
      <c r="BG260" s="6" t="s">
        <v>615</v>
      </c>
      <c r="BH260" s="6" t="s">
        <v>1393</v>
      </c>
      <c r="BI260" s="6">
        <v>0</v>
      </c>
      <c r="BJ260" s="6" t="s">
        <v>609</v>
      </c>
      <c r="BK260" s="6">
        <v>0</v>
      </c>
      <c r="BL260" s="6">
        <v>1</v>
      </c>
      <c r="BM260" s="6">
        <v>0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</row>
    <row r="261" spans="1:70" ht="52.8" customHeight="1" x14ac:dyDescent="0.3">
      <c r="A261" s="6">
        <v>574210</v>
      </c>
      <c r="B261" s="6" t="s">
        <v>46</v>
      </c>
      <c r="C261" s="15" t="s">
        <v>523</v>
      </c>
      <c r="D261" s="6" t="s">
        <v>55</v>
      </c>
      <c r="E261" s="6" t="s">
        <v>15</v>
      </c>
      <c r="F261" s="7">
        <v>41886</v>
      </c>
      <c r="G261" s="7">
        <v>42341</v>
      </c>
      <c r="H261" s="8" t="s">
        <v>59</v>
      </c>
      <c r="I261" s="3" t="s">
        <v>17</v>
      </c>
      <c r="J261" s="3" t="s">
        <v>18</v>
      </c>
      <c r="K261" t="s">
        <v>19</v>
      </c>
      <c r="L261" s="6" t="s">
        <v>696</v>
      </c>
      <c r="M261" s="14" t="s">
        <v>724</v>
      </c>
      <c r="N261" s="6" t="s">
        <v>657</v>
      </c>
      <c r="O261" s="6">
        <v>0</v>
      </c>
      <c r="P261" s="6" t="s">
        <v>735</v>
      </c>
      <c r="Q261" s="35">
        <v>1</v>
      </c>
      <c r="R261" s="35">
        <v>0</v>
      </c>
      <c r="S261" s="35">
        <v>0</v>
      </c>
      <c r="T261" s="35">
        <v>0</v>
      </c>
      <c r="U261" s="35">
        <v>0</v>
      </c>
      <c r="V261" s="35">
        <v>0</v>
      </c>
      <c r="W261" s="35">
        <v>0</v>
      </c>
      <c r="X261" s="6" t="s">
        <v>971</v>
      </c>
      <c r="Y261" s="6">
        <v>1</v>
      </c>
      <c r="Z261" s="6">
        <v>0</v>
      </c>
      <c r="AA261" s="6">
        <v>0</v>
      </c>
      <c r="AB261" s="6">
        <v>0</v>
      </c>
      <c r="AC261" s="6">
        <v>1</v>
      </c>
      <c r="AD261" s="14" t="s">
        <v>21</v>
      </c>
      <c r="AE261" s="13" t="s">
        <v>524</v>
      </c>
      <c r="AF261" s="13" t="s">
        <v>1141</v>
      </c>
      <c r="AG261" s="8" t="s">
        <v>1348</v>
      </c>
      <c r="AH261" s="11">
        <v>40824</v>
      </c>
      <c r="AI261" s="10">
        <v>545</v>
      </c>
      <c r="AJ261" s="12">
        <v>700</v>
      </c>
      <c r="AK261" s="12">
        <f t="shared" si="19"/>
        <v>128.44036697247708</v>
      </c>
      <c r="AL261" s="12" t="str">
        <f t="shared" ref="AL261:AL305" si="22">IF(AK261=0,"Não Informado",IF(AK261&lt;=10,"Até 10%",IF(AK261&lt;=25,"10% a 25%",IF(AK261&lt;=50,"25% a 50%","Acima de 50%"))))</f>
        <v>Acima de 50%</v>
      </c>
      <c r="AM261" s="6" t="s">
        <v>1211</v>
      </c>
      <c r="AN261" s="6" t="s">
        <v>1454</v>
      </c>
      <c r="AO261" s="6" t="s">
        <v>699</v>
      </c>
      <c r="AP261" s="6">
        <v>0</v>
      </c>
      <c r="AQ261" s="6" t="s">
        <v>613</v>
      </c>
      <c r="AR261" s="6" t="s">
        <v>1399</v>
      </c>
      <c r="AS261" s="6">
        <v>1</v>
      </c>
      <c r="AT261" s="6">
        <v>0</v>
      </c>
      <c r="AU261" s="6">
        <v>0</v>
      </c>
      <c r="AV261" s="6">
        <v>0</v>
      </c>
      <c r="AW261" s="6" t="s">
        <v>1212</v>
      </c>
      <c r="AX261" s="31">
        <v>1</v>
      </c>
      <c r="AY261" s="31">
        <v>6</v>
      </c>
      <c r="AZ261" s="31">
        <v>0</v>
      </c>
      <c r="BA261" s="12">
        <f t="shared" si="20"/>
        <v>18.166666666666668</v>
      </c>
      <c r="BB261" s="31">
        <v>15</v>
      </c>
      <c r="BC261" s="31">
        <v>0</v>
      </c>
      <c r="BD261" s="31">
        <v>0</v>
      </c>
      <c r="BE261" s="31">
        <v>0</v>
      </c>
      <c r="BF261" s="12">
        <f t="shared" si="21"/>
        <v>0</v>
      </c>
      <c r="BG261" s="6" t="s">
        <v>615</v>
      </c>
      <c r="BH261" s="6" t="s">
        <v>1393</v>
      </c>
      <c r="BI261" s="6">
        <v>0</v>
      </c>
      <c r="BJ261" s="6" t="s">
        <v>609</v>
      </c>
      <c r="BK261" s="6">
        <v>0</v>
      </c>
      <c r="BL261" s="6">
        <v>1</v>
      </c>
      <c r="BM261" s="6">
        <v>0</v>
      </c>
      <c r="BN261" s="6">
        <v>0</v>
      </c>
      <c r="BO261" s="6">
        <v>0</v>
      </c>
      <c r="BP261" s="6">
        <v>0</v>
      </c>
      <c r="BQ261" s="6">
        <v>0</v>
      </c>
      <c r="BR261" s="6">
        <v>0</v>
      </c>
    </row>
    <row r="262" spans="1:70" ht="52.8" customHeight="1" x14ac:dyDescent="0.3">
      <c r="A262" s="6">
        <v>311356</v>
      </c>
      <c r="B262" s="6" t="s">
        <v>24</v>
      </c>
      <c r="C262" s="15" t="s">
        <v>525</v>
      </c>
      <c r="D262" s="6" t="s">
        <v>41</v>
      </c>
      <c r="E262" s="6" t="s">
        <v>15</v>
      </c>
      <c r="F262" s="7">
        <v>41976</v>
      </c>
      <c r="G262" s="7">
        <v>42142</v>
      </c>
      <c r="H262" s="8" t="s">
        <v>59</v>
      </c>
      <c r="I262" s="3" t="s">
        <v>48</v>
      </c>
      <c r="J262" s="3" t="s">
        <v>18</v>
      </c>
      <c r="K262" t="s">
        <v>19</v>
      </c>
      <c r="L262" s="6" t="s">
        <v>696</v>
      </c>
      <c r="M262" s="14" t="s">
        <v>848</v>
      </c>
      <c r="N262" s="6" t="s">
        <v>657</v>
      </c>
      <c r="O262" s="6">
        <v>0</v>
      </c>
      <c r="P262" s="6" t="s">
        <v>1215</v>
      </c>
      <c r="Q262" s="35">
        <v>1</v>
      </c>
      <c r="R262" s="35">
        <v>0</v>
      </c>
      <c r="S262" s="35">
        <v>0</v>
      </c>
      <c r="T262" s="35">
        <v>1</v>
      </c>
      <c r="U262" s="35">
        <v>0</v>
      </c>
      <c r="V262" s="35">
        <v>0</v>
      </c>
      <c r="W262" s="35">
        <v>0</v>
      </c>
      <c r="X262" s="6" t="s">
        <v>801</v>
      </c>
      <c r="Y262" s="6">
        <v>1</v>
      </c>
      <c r="Z262" s="6">
        <v>0</v>
      </c>
      <c r="AA262" s="6">
        <v>0</v>
      </c>
      <c r="AB262" s="6">
        <v>1</v>
      </c>
      <c r="AC262" s="6">
        <v>0</v>
      </c>
      <c r="AD262" s="14" t="s">
        <v>21</v>
      </c>
      <c r="AE262" s="13" t="s">
        <v>526</v>
      </c>
      <c r="AF262" s="13" t="s">
        <v>45</v>
      </c>
      <c r="AG262" s="8" t="s">
        <v>1357</v>
      </c>
      <c r="AH262" s="11">
        <v>41098</v>
      </c>
      <c r="AI262" s="10">
        <v>622</v>
      </c>
      <c r="AJ262" s="12">
        <v>194.7</v>
      </c>
      <c r="AK262" s="12">
        <f t="shared" si="19"/>
        <v>31.302250803858517</v>
      </c>
      <c r="AL262" s="12" t="str">
        <f t="shared" si="22"/>
        <v>25% a 50%</v>
      </c>
      <c r="AM262" s="6" t="s">
        <v>1213</v>
      </c>
      <c r="AN262" s="6" t="s">
        <v>1455</v>
      </c>
      <c r="AO262" s="6" t="s">
        <v>699</v>
      </c>
      <c r="AP262" s="6">
        <v>0</v>
      </c>
      <c r="AQ262" s="6" t="s">
        <v>1214</v>
      </c>
      <c r="AR262" s="6" t="s">
        <v>1403</v>
      </c>
      <c r="AS262" s="6">
        <v>0</v>
      </c>
      <c r="AT262" s="6">
        <v>0</v>
      </c>
      <c r="AU262" s="6">
        <v>0</v>
      </c>
      <c r="AV262" s="6">
        <v>0</v>
      </c>
      <c r="AW262" s="6" t="s">
        <v>741</v>
      </c>
      <c r="AX262" s="31">
        <v>0</v>
      </c>
      <c r="AY262" s="31">
        <v>8</v>
      </c>
      <c r="AZ262" s="31">
        <v>0</v>
      </c>
      <c r="BA262" s="12">
        <f t="shared" si="20"/>
        <v>8</v>
      </c>
      <c r="BB262" s="31">
        <v>10</v>
      </c>
      <c r="BC262" s="31">
        <v>0</v>
      </c>
      <c r="BD262" s="31">
        <v>0</v>
      </c>
      <c r="BE262" s="31">
        <v>0</v>
      </c>
      <c r="BF262" s="12">
        <f t="shared" si="21"/>
        <v>0</v>
      </c>
      <c r="BG262" s="6" t="s">
        <v>636</v>
      </c>
      <c r="BH262" s="6" t="s">
        <v>1394</v>
      </c>
      <c r="BI262" s="6">
        <v>1</v>
      </c>
      <c r="BJ262" s="6" t="s">
        <v>609</v>
      </c>
      <c r="BK262" s="6">
        <v>0</v>
      </c>
      <c r="BL262" s="6">
        <v>0</v>
      </c>
      <c r="BM262" s="6">
        <v>0</v>
      </c>
      <c r="BN262" s="6">
        <v>1</v>
      </c>
      <c r="BO262" s="6">
        <v>0</v>
      </c>
      <c r="BP262" s="6">
        <v>0</v>
      </c>
      <c r="BQ262" s="6">
        <v>0</v>
      </c>
      <c r="BR262" s="6">
        <v>0</v>
      </c>
    </row>
    <row r="263" spans="1:70" ht="52.8" customHeight="1" x14ac:dyDescent="0.3">
      <c r="A263" s="6">
        <v>1512282</v>
      </c>
      <c r="B263" s="6" t="s">
        <v>26</v>
      </c>
      <c r="C263" s="15" t="s">
        <v>527</v>
      </c>
      <c r="D263" s="6" t="s">
        <v>28</v>
      </c>
      <c r="E263" s="6" t="s">
        <v>15</v>
      </c>
      <c r="F263" s="7">
        <v>42047</v>
      </c>
      <c r="G263" s="7">
        <v>42439</v>
      </c>
      <c r="H263" s="8" t="s">
        <v>16</v>
      </c>
      <c r="I263" s="3" t="s">
        <v>17</v>
      </c>
      <c r="J263" s="3" t="s">
        <v>18</v>
      </c>
      <c r="K263" t="s">
        <v>19</v>
      </c>
      <c r="L263" s="6" t="s">
        <v>695</v>
      </c>
      <c r="M263" s="14" t="s">
        <v>1217</v>
      </c>
      <c r="N263" s="6" t="s">
        <v>657</v>
      </c>
      <c r="O263" s="6">
        <v>0</v>
      </c>
      <c r="P263" s="6" t="s">
        <v>735</v>
      </c>
      <c r="Q263" s="35">
        <v>1</v>
      </c>
      <c r="R263" s="35">
        <v>0</v>
      </c>
      <c r="S263" s="35">
        <v>0</v>
      </c>
      <c r="T263" s="35">
        <v>0</v>
      </c>
      <c r="U263" s="35">
        <v>0</v>
      </c>
      <c r="V263" s="35">
        <v>0</v>
      </c>
      <c r="W263" s="35">
        <v>0</v>
      </c>
      <c r="X263" s="6" t="s">
        <v>1218</v>
      </c>
      <c r="Y263" s="6">
        <v>1</v>
      </c>
      <c r="Z263" s="6">
        <v>1</v>
      </c>
      <c r="AA263" s="6">
        <v>0</v>
      </c>
      <c r="AB263" s="6">
        <v>0</v>
      </c>
      <c r="AC263" s="6">
        <v>1</v>
      </c>
      <c r="AD263" s="14" t="s">
        <v>21</v>
      </c>
      <c r="AE263" s="13" t="s">
        <v>528</v>
      </c>
      <c r="AF263" s="13" t="s">
        <v>1216</v>
      </c>
      <c r="AG263" s="8" t="s">
        <v>1357</v>
      </c>
      <c r="AH263" s="11">
        <v>41635</v>
      </c>
      <c r="AI263" s="10">
        <v>678</v>
      </c>
      <c r="AJ263" s="12">
        <v>145</v>
      </c>
      <c r="AK263" s="12">
        <f t="shared" si="19"/>
        <v>21.386430678466077</v>
      </c>
      <c r="AL263" s="12" t="str">
        <f t="shared" si="22"/>
        <v>10% a 25%</v>
      </c>
      <c r="AM263" s="6" t="s">
        <v>624</v>
      </c>
      <c r="AN263" s="6" t="s">
        <v>1452</v>
      </c>
      <c r="AO263" s="6" t="s">
        <v>701</v>
      </c>
      <c r="AP263" s="6">
        <v>1</v>
      </c>
      <c r="AQ263" s="6" t="s">
        <v>1420</v>
      </c>
      <c r="AR263" s="6" t="s">
        <v>1401</v>
      </c>
      <c r="AS263" s="6">
        <v>1</v>
      </c>
      <c r="AT263" s="6">
        <v>0</v>
      </c>
      <c r="AU263" s="6">
        <v>0</v>
      </c>
      <c r="AV263" s="6">
        <v>2</v>
      </c>
      <c r="AW263" s="6" t="s">
        <v>1219</v>
      </c>
      <c r="AX263" s="31">
        <v>1</v>
      </c>
      <c r="AY263" s="31">
        <v>11</v>
      </c>
      <c r="AZ263" s="31">
        <v>0</v>
      </c>
      <c r="BA263" s="12">
        <f t="shared" si="20"/>
        <v>23.166666666666668</v>
      </c>
      <c r="BB263" s="31">
        <v>45</v>
      </c>
      <c r="BC263" s="31">
        <v>0</v>
      </c>
      <c r="BD263" s="31">
        <v>0</v>
      </c>
      <c r="BE263" s="31">
        <v>0</v>
      </c>
      <c r="BF263" s="12">
        <f t="shared" si="21"/>
        <v>0</v>
      </c>
      <c r="BG263" s="6" t="s">
        <v>615</v>
      </c>
      <c r="BH263" s="6" t="s">
        <v>1393</v>
      </c>
      <c r="BI263" s="6">
        <v>0</v>
      </c>
      <c r="BJ263" s="6" t="s">
        <v>609</v>
      </c>
      <c r="BK263" s="6">
        <v>0</v>
      </c>
      <c r="BL263" s="6">
        <v>0</v>
      </c>
      <c r="BM263" s="6">
        <v>0</v>
      </c>
      <c r="BN263" s="6">
        <v>1</v>
      </c>
      <c r="BO263" s="6">
        <v>0</v>
      </c>
      <c r="BP263" s="6">
        <v>0</v>
      </c>
      <c r="BQ263" s="6">
        <v>0</v>
      </c>
      <c r="BR263" s="6">
        <v>0</v>
      </c>
    </row>
    <row r="264" spans="1:70" ht="52.8" customHeight="1" x14ac:dyDescent="0.3">
      <c r="A264" s="6">
        <v>653096</v>
      </c>
      <c r="B264" s="6" t="s">
        <v>46</v>
      </c>
      <c r="C264" s="15" t="s">
        <v>529</v>
      </c>
      <c r="D264" s="6" t="s">
        <v>64</v>
      </c>
      <c r="E264" s="6" t="s">
        <v>15</v>
      </c>
      <c r="F264" s="7">
        <v>42046</v>
      </c>
      <c r="G264" s="7">
        <v>42068</v>
      </c>
      <c r="H264" s="8" t="s">
        <v>118</v>
      </c>
      <c r="I264" s="3" t="s">
        <v>17</v>
      </c>
      <c r="J264" s="3" t="s">
        <v>18</v>
      </c>
      <c r="K264" t="s">
        <v>19</v>
      </c>
      <c r="L264" s="6" t="s">
        <v>696</v>
      </c>
      <c r="M264" s="14" t="s">
        <v>626</v>
      </c>
      <c r="N264" s="6" t="s">
        <v>657</v>
      </c>
      <c r="O264" s="6">
        <v>0</v>
      </c>
      <c r="P264" s="6" t="s">
        <v>942</v>
      </c>
      <c r="Q264" s="35">
        <v>0</v>
      </c>
      <c r="R264" s="35">
        <v>0</v>
      </c>
      <c r="S264" s="35">
        <v>1</v>
      </c>
      <c r="T264" s="35">
        <v>0</v>
      </c>
      <c r="U264" s="35">
        <v>0</v>
      </c>
      <c r="V264" s="35">
        <v>0</v>
      </c>
      <c r="W264" s="35">
        <v>0</v>
      </c>
      <c r="X264" s="6" t="s">
        <v>801</v>
      </c>
      <c r="Y264" s="6">
        <v>1</v>
      </c>
      <c r="Z264" s="6">
        <v>0</v>
      </c>
      <c r="AA264" s="6">
        <v>0</v>
      </c>
      <c r="AB264" s="6">
        <v>1</v>
      </c>
      <c r="AC264" s="6">
        <v>0</v>
      </c>
      <c r="AD264" s="14" t="s">
        <v>21</v>
      </c>
      <c r="AE264" s="13" t="s">
        <v>530</v>
      </c>
      <c r="AF264" s="13" t="s">
        <v>66</v>
      </c>
      <c r="AG264" s="8" t="s">
        <v>1357</v>
      </c>
      <c r="AH264" s="11">
        <v>41410</v>
      </c>
      <c r="AI264" s="10">
        <v>678</v>
      </c>
      <c r="AJ264" s="12">
        <v>48.4</v>
      </c>
      <c r="AK264" s="12">
        <f t="shared" si="19"/>
        <v>7.1386430678466075</v>
      </c>
      <c r="AL264" s="12" t="str">
        <f t="shared" si="22"/>
        <v>Até 10%</v>
      </c>
      <c r="AM264" s="6" t="s">
        <v>1132</v>
      </c>
      <c r="AN264" s="6" t="s">
        <v>616</v>
      </c>
      <c r="AO264" s="6" t="s">
        <v>699</v>
      </c>
      <c r="AP264" s="6">
        <v>0</v>
      </c>
      <c r="AQ264" s="6" t="s">
        <v>658</v>
      </c>
      <c r="AR264" s="6" t="s">
        <v>1399</v>
      </c>
      <c r="AS264" s="6">
        <v>0</v>
      </c>
      <c r="AT264" s="6">
        <v>0</v>
      </c>
      <c r="AU264" s="6">
        <v>0</v>
      </c>
      <c r="AV264" s="6">
        <v>0</v>
      </c>
      <c r="AW264" s="6" t="s">
        <v>664</v>
      </c>
      <c r="AX264" s="31">
        <v>0</v>
      </c>
      <c r="AY264" s="31">
        <v>8</v>
      </c>
      <c r="AZ264" s="31">
        <v>0</v>
      </c>
      <c r="BA264" s="12">
        <f t="shared" si="20"/>
        <v>8</v>
      </c>
      <c r="BB264" s="31">
        <v>6</v>
      </c>
      <c r="BC264" s="31">
        <v>0</v>
      </c>
      <c r="BD264" s="31">
        <v>0</v>
      </c>
      <c r="BE264" s="31">
        <v>0</v>
      </c>
      <c r="BF264" s="12">
        <f t="shared" si="21"/>
        <v>0</v>
      </c>
      <c r="BG264" s="6" t="s">
        <v>637</v>
      </c>
      <c r="BH264" s="6" t="s">
        <v>1394</v>
      </c>
      <c r="BI264" s="6">
        <v>0</v>
      </c>
      <c r="BJ264" s="6" t="s">
        <v>609</v>
      </c>
      <c r="BK264" s="6">
        <v>0</v>
      </c>
      <c r="BL264" s="6">
        <v>1</v>
      </c>
      <c r="BM264" s="6">
        <v>1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</row>
    <row r="265" spans="1:70" ht="52.8" customHeight="1" x14ac:dyDescent="0.3">
      <c r="A265" s="6">
        <v>757069</v>
      </c>
      <c r="B265" s="6" t="s">
        <v>46</v>
      </c>
      <c r="C265" s="15" t="s">
        <v>531</v>
      </c>
      <c r="D265" s="6" t="s">
        <v>55</v>
      </c>
      <c r="E265" s="6" t="s">
        <v>15</v>
      </c>
      <c r="F265" s="7">
        <v>42228</v>
      </c>
      <c r="G265" s="7">
        <v>42292</v>
      </c>
      <c r="H265" s="8" t="s">
        <v>52</v>
      </c>
      <c r="I265" s="3" t="s">
        <v>48</v>
      </c>
      <c r="J265" s="3" t="s">
        <v>18</v>
      </c>
      <c r="K265" t="s">
        <v>19</v>
      </c>
      <c r="L265" s="6" t="s">
        <v>695</v>
      </c>
      <c r="M265" s="14" t="s">
        <v>626</v>
      </c>
      <c r="N265" s="6" t="s">
        <v>657</v>
      </c>
      <c r="O265" s="6">
        <v>0</v>
      </c>
      <c r="P265" s="6" t="s">
        <v>942</v>
      </c>
      <c r="Q265" s="35">
        <v>0</v>
      </c>
      <c r="R265" s="35">
        <v>0</v>
      </c>
      <c r="S265" s="35">
        <v>1</v>
      </c>
      <c r="T265" s="35">
        <v>0</v>
      </c>
      <c r="U265" s="35">
        <v>0</v>
      </c>
      <c r="V265" s="35">
        <v>0</v>
      </c>
      <c r="W265" s="35">
        <v>0</v>
      </c>
      <c r="X265" s="6" t="s">
        <v>657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14" t="s">
        <v>21</v>
      </c>
      <c r="AE265" s="13" t="s">
        <v>532</v>
      </c>
      <c r="AF265" s="13" t="s">
        <v>976</v>
      </c>
      <c r="AG265" s="8" t="s">
        <v>1357</v>
      </c>
      <c r="AH265" s="11">
        <v>41547</v>
      </c>
      <c r="AI265" s="10">
        <v>678</v>
      </c>
      <c r="AJ265" s="12">
        <v>198</v>
      </c>
      <c r="AK265" s="12">
        <f t="shared" si="19"/>
        <v>29.20353982300885</v>
      </c>
      <c r="AL265" s="12" t="str">
        <f t="shared" si="22"/>
        <v>25% a 50%</v>
      </c>
      <c r="AM265" s="6" t="s">
        <v>1220</v>
      </c>
      <c r="AN265" s="6" t="s">
        <v>1454</v>
      </c>
      <c r="AO265" s="6" t="s">
        <v>699</v>
      </c>
      <c r="AP265" s="6">
        <v>0</v>
      </c>
      <c r="AQ265" s="6" t="s">
        <v>1421</v>
      </c>
      <c r="AR265" s="6" t="s">
        <v>1400</v>
      </c>
      <c r="AS265" s="6">
        <v>1</v>
      </c>
      <c r="AT265" s="6">
        <v>0</v>
      </c>
      <c r="AU265" s="6">
        <v>0</v>
      </c>
      <c r="AV265" s="6">
        <v>1</v>
      </c>
      <c r="AW265" s="6" t="s">
        <v>1124</v>
      </c>
      <c r="AX265" s="31">
        <v>2</v>
      </c>
      <c r="AY265" s="31">
        <v>4</v>
      </c>
      <c r="AZ265" s="31">
        <v>0</v>
      </c>
      <c r="BA265" s="12">
        <f t="shared" si="20"/>
        <v>28.333333333333332</v>
      </c>
      <c r="BB265" s="31">
        <v>10</v>
      </c>
      <c r="BC265" s="31">
        <v>0</v>
      </c>
      <c r="BD265" s="31">
        <v>0</v>
      </c>
      <c r="BE265" s="31">
        <v>0</v>
      </c>
      <c r="BF265" s="12">
        <f t="shared" si="21"/>
        <v>0</v>
      </c>
      <c r="BG265" s="6" t="s">
        <v>636</v>
      </c>
      <c r="BH265" s="6" t="s">
        <v>1394</v>
      </c>
      <c r="BI265" s="6">
        <v>1</v>
      </c>
      <c r="BJ265" s="6" t="s">
        <v>609</v>
      </c>
      <c r="BK265" s="6">
        <v>0</v>
      </c>
      <c r="BL265" s="6">
        <v>0</v>
      </c>
      <c r="BM265" s="6">
        <v>0</v>
      </c>
      <c r="BN265" s="6">
        <v>1</v>
      </c>
      <c r="BO265" s="6">
        <v>0</v>
      </c>
      <c r="BP265" s="6">
        <v>0</v>
      </c>
      <c r="BQ265" s="6">
        <v>0</v>
      </c>
      <c r="BR265" s="6">
        <v>0</v>
      </c>
    </row>
    <row r="266" spans="1:70" ht="52.8" customHeight="1" x14ac:dyDescent="0.3">
      <c r="A266" s="6">
        <v>577880</v>
      </c>
      <c r="B266" s="6" t="s">
        <v>13</v>
      </c>
      <c r="C266" s="15" t="s">
        <v>1221</v>
      </c>
      <c r="D266" s="6" t="s">
        <v>55</v>
      </c>
      <c r="E266" s="6" t="s">
        <v>15</v>
      </c>
      <c r="F266" s="7">
        <v>41893</v>
      </c>
      <c r="G266" s="7">
        <v>41919</v>
      </c>
      <c r="H266" s="8" t="s">
        <v>52</v>
      </c>
      <c r="I266" s="3" t="s">
        <v>48</v>
      </c>
      <c r="J266" s="3" t="s">
        <v>18</v>
      </c>
      <c r="K266" t="s">
        <v>19</v>
      </c>
      <c r="L266" s="6" t="s">
        <v>695</v>
      </c>
      <c r="M266" s="14" t="s">
        <v>626</v>
      </c>
      <c r="N266" s="6" t="s">
        <v>657</v>
      </c>
      <c r="O266" s="6">
        <v>0</v>
      </c>
      <c r="P266" s="6" t="s">
        <v>735</v>
      </c>
      <c r="Q266" s="35">
        <v>1</v>
      </c>
      <c r="R266" s="35">
        <v>0</v>
      </c>
      <c r="S266" s="35">
        <v>0</v>
      </c>
      <c r="T266" s="35">
        <v>0</v>
      </c>
      <c r="U266" s="35">
        <v>0</v>
      </c>
      <c r="V266" s="35">
        <v>0</v>
      </c>
      <c r="W266" s="35">
        <v>0</v>
      </c>
      <c r="X266" s="6" t="s">
        <v>971</v>
      </c>
      <c r="Y266" s="6">
        <v>1</v>
      </c>
      <c r="Z266" s="6">
        <v>0</v>
      </c>
      <c r="AA266" s="6">
        <v>0</v>
      </c>
      <c r="AB266" s="6">
        <v>0</v>
      </c>
      <c r="AC266" s="6">
        <v>1</v>
      </c>
      <c r="AD266" s="14" t="s">
        <v>43</v>
      </c>
      <c r="AE266" s="13" t="s">
        <v>533</v>
      </c>
      <c r="AF266" s="13" t="s">
        <v>901</v>
      </c>
      <c r="AG266" s="8" t="s">
        <v>1348</v>
      </c>
      <c r="AH266" s="11">
        <v>40897</v>
      </c>
      <c r="AI266" s="10">
        <v>545</v>
      </c>
      <c r="AJ266" s="12">
        <v>160</v>
      </c>
      <c r="AK266" s="12">
        <f t="shared" si="19"/>
        <v>29.357798165137616</v>
      </c>
      <c r="AL266" s="12" t="str">
        <f t="shared" si="22"/>
        <v>25% a 50%</v>
      </c>
      <c r="AM266" s="6" t="s">
        <v>1222</v>
      </c>
      <c r="AN266" s="6" t="s">
        <v>1455</v>
      </c>
      <c r="AO266" s="6" t="s">
        <v>699</v>
      </c>
      <c r="AP266" s="6">
        <v>0</v>
      </c>
      <c r="AQ266" s="6" t="s">
        <v>785</v>
      </c>
      <c r="AR266" s="6" t="s">
        <v>1401</v>
      </c>
      <c r="AS266" s="6">
        <v>1</v>
      </c>
      <c r="AT266" s="6">
        <v>0</v>
      </c>
      <c r="AU266" s="6">
        <v>0</v>
      </c>
      <c r="AV266" s="6">
        <v>0</v>
      </c>
      <c r="AW266" s="6" t="s">
        <v>818</v>
      </c>
      <c r="AX266" s="31">
        <v>0</v>
      </c>
      <c r="AY266" s="31">
        <v>4</v>
      </c>
      <c r="AZ266" s="31">
        <v>0</v>
      </c>
      <c r="BA266" s="12">
        <f t="shared" si="20"/>
        <v>4</v>
      </c>
      <c r="BB266" s="31">
        <v>3</v>
      </c>
      <c r="BC266" s="31">
        <v>0</v>
      </c>
      <c r="BD266" s="31">
        <v>0</v>
      </c>
      <c r="BE266" s="31">
        <v>0</v>
      </c>
      <c r="BF266" s="12">
        <f t="shared" si="21"/>
        <v>0</v>
      </c>
      <c r="BG266" s="6" t="s">
        <v>636</v>
      </c>
      <c r="BH266" s="6" t="s">
        <v>1394</v>
      </c>
      <c r="BI266" s="6">
        <v>1</v>
      </c>
      <c r="BJ266" s="6" t="s">
        <v>609</v>
      </c>
      <c r="BK266" s="6">
        <v>0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0</v>
      </c>
    </row>
    <row r="267" spans="1:70" ht="52.8" customHeight="1" x14ac:dyDescent="0.3">
      <c r="A267" s="6">
        <v>682037</v>
      </c>
      <c r="B267" s="6" t="s">
        <v>46</v>
      </c>
      <c r="C267" s="15" t="s">
        <v>534</v>
      </c>
      <c r="D267" s="6" t="s">
        <v>64</v>
      </c>
      <c r="E267" s="6" t="s">
        <v>15</v>
      </c>
      <c r="F267" s="7">
        <v>42101</v>
      </c>
      <c r="G267" s="7">
        <v>42173</v>
      </c>
      <c r="H267" s="8" t="s">
        <v>52</v>
      </c>
      <c r="I267" s="3" t="s">
        <v>48</v>
      </c>
      <c r="J267" s="3" t="s">
        <v>18</v>
      </c>
      <c r="K267" t="s">
        <v>19</v>
      </c>
      <c r="L267" s="6" t="s">
        <v>695</v>
      </c>
      <c r="M267" s="14" t="s">
        <v>626</v>
      </c>
      <c r="N267" s="6" t="s">
        <v>657</v>
      </c>
      <c r="O267" s="6">
        <v>0</v>
      </c>
      <c r="P267" s="6" t="s">
        <v>1224</v>
      </c>
      <c r="Q267" s="35">
        <v>1</v>
      </c>
      <c r="R267" s="35">
        <v>0</v>
      </c>
      <c r="S267" s="35">
        <v>1</v>
      </c>
      <c r="T267" s="35">
        <v>1</v>
      </c>
      <c r="U267" s="35">
        <v>0</v>
      </c>
      <c r="V267" s="35">
        <v>0</v>
      </c>
      <c r="W267" s="35">
        <v>0</v>
      </c>
      <c r="X267" s="6" t="s">
        <v>780</v>
      </c>
      <c r="Y267" s="6">
        <v>1</v>
      </c>
      <c r="Z267" s="6">
        <v>1</v>
      </c>
      <c r="AA267" s="6">
        <v>0</v>
      </c>
      <c r="AB267" s="6">
        <v>0</v>
      </c>
      <c r="AC267" s="6">
        <v>0</v>
      </c>
      <c r="AD267" s="14" t="s">
        <v>21</v>
      </c>
      <c r="AE267" s="13" t="s">
        <v>535</v>
      </c>
      <c r="AF267" s="13" t="s">
        <v>66</v>
      </c>
      <c r="AG267" s="8" t="s">
        <v>1357</v>
      </c>
      <c r="AH267" s="11">
        <v>41326</v>
      </c>
      <c r="AI267" s="10">
        <v>678</v>
      </c>
      <c r="AJ267" s="12">
        <v>0</v>
      </c>
      <c r="AK267" s="12">
        <f t="shared" si="19"/>
        <v>0</v>
      </c>
      <c r="AL267" s="12" t="str">
        <f t="shared" si="22"/>
        <v>Não Informado</v>
      </c>
      <c r="AM267" s="6" t="s">
        <v>1223</v>
      </c>
      <c r="AN267" s="6" t="s">
        <v>1454</v>
      </c>
      <c r="AO267" s="6" t="s">
        <v>699</v>
      </c>
      <c r="AP267" s="6">
        <v>0</v>
      </c>
      <c r="AQ267" s="6" t="s">
        <v>785</v>
      </c>
      <c r="AR267" s="6" t="s">
        <v>1401</v>
      </c>
      <c r="AS267" s="6">
        <v>1</v>
      </c>
      <c r="AT267" s="6">
        <v>0</v>
      </c>
      <c r="AU267" s="6">
        <v>0</v>
      </c>
      <c r="AV267" s="6">
        <v>0</v>
      </c>
      <c r="AW267" s="6" t="s">
        <v>802</v>
      </c>
      <c r="AX267" s="31">
        <v>0</v>
      </c>
      <c r="AY267" s="31">
        <v>6</v>
      </c>
      <c r="AZ267" s="31">
        <v>0</v>
      </c>
      <c r="BA267" s="12">
        <f t="shared" si="20"/>
        <v>6</v>
      </c>
      <c r="BB267" s="31">
        <v>5</v>
      </c>
      <c r="BC267" s="31">
        <v>0</v>
      </c>
      <c r="BD267" s="31">
        <v>0</v>
      </c>
      <c r="BE267" s="31">
        <v>0</v>
      </c>
      <c r="BF267" s="12">
        <f t="shared" si="21"/>
        <v>0</v>
      </c>
      <c r="BG267" s="6" t="s">
        <v>636</v>
      </c>
      <c r="BH267" s="6" t="s">
        <v>1394</v>
      </c>
      <c r="BI267" s="6">
        <v>1</v>
      </c>
      <c r="BJ267" s="6" t="s">
        <v>609</v>
      </c>
      <c r="BK267" s="6">
        <v>0</v>
      </c>
      <c r="BL267" s="6">
        <v>0</v>
      </c>
      <c r="BM267" s="6">
        <v>0</v>
      </c>
      <c r="BN267" s="6">
        <v>1</v>
      </c>
      <c r="BO267" s="6">
        <v>0</v>
      </c>
      <c r="BP267" s="6">
        <v>0</v>
      </c>
      <c r="BQ267" s="6">
        <v>0</v>
      </c>
      <c r="BR267" s="6">
        <v>0</v>
      </c>
    </row>
    <row r="268" spans="1:70" ht="52.8" customHeight="1" x14ac:dyDescent="0.3">
      <c r="A268" s="6">
        <v>1521263</v>
      </c>
      <c r="B268" s="6" t="s">
        <v>26</v>
      </c>
      <c r="C268" s="15" t="s">
        <v>536</v>
      </c>
      <c r="D268" s="6" t="s">
        <v>64</v>
      </c>
      <c r="E268" s="6" t="s">
        <v>15</v>
      </c>
      <c r="F268" s="7">
        <v>42088</v>
      </c>
      <c r="G268" s="7">
        <v>42114</v>
      </c>
      <c r="H268" s="8" t="s">
        <v>101</v>
      </c>
      <c r="I268" s="3" t="s">
        <v>17</v>
      </c>
      <c r="J268" s="3" t="s">
        <v>18</v>
      </c>
      <c r="K268" t="s">
        <v>19</v>
      </c>
      <c r="L268" s="6" t="s">
        <v>695</v>
      </c>
      <c r="M268" s="14" t="s">
        <v>724</v>
      </c>
      <c r="N268" s="6" t="s">
        <v>657</v>
      </c>
      <c r="O268" s="6">
        <v>0</v>
      </c>
      <c r="P268" s="6" t="s">
        <v>942</v>
      </c>
      <c r="Q268" s="35">
        <v>0</v>
      </c>
      <c r="R268" s="35">
        <v>0</v>
      </c>
      <c r="S268" s="35">
        <v>1</v>
      </c>
      <c r="T268" s="35">
        <v>0</v>
      </c>
      <c r="U268" s="35">
        <v>0</v>
      </c>
      <c r="V268" s="35">
        <v>0</v>
      </c>
      <c r="W268" s="35">
        <v>0</v>
      </c>
      <c r="X268" s="6" t="s">
        <v>657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14" t="s">
        <v>21</v>
      </c>
      <c r="AE268" s="13" t="s">
        <v>537</v>
      </c>
      <c r="AF268" s="13" t="s">
        <v>66</v>
      </c>
      <c r="AG268" s="8" t="s">
        <v>1357</v>
      </c>
      <c r="AH268" s="11">
        <v>41154</v>
      </c>
      <c r="AI268" s="10">
        <v>622</v>
      </c>
      <c r="AJ268" s="12">
        <v>80</v>
      </c>
      <c r="AK268" s="12">
        <f t="shared" si="19"/>
        <v>12.861736334405144</v>
      </c>
      <c r="AL268" s="12" t="str">
        <f t="shared" si="22"/>
        <v>10% a 25%</v>
      </c>
      <c r="AM268" s="6" t="s">
        <v>1225</v>
      </c>
      <c r="AN268" s="6" t="s">
        <v>1454</v>
      </c>
      <c r="AO268" s="6" t="s">
        <v>699</v>
      </c>
      <c r="AP268" s="6">
        <v>0</v>
      </c>
      <c r="AQ268" s="6" t="s">
        <v>785</v>
      </c>
      <c r="AR268" s="6" t="s">
        <v>1401</v>
      </c>
      <c r="AS268" s="6">
        <v>1</v>
      </c>
      <c r="AT268" s="6">
        <v>0</v>
      </c>
      <c r="AU268" s="6">
        <v>0</v>
      </c>
      <c r="AV268" s="6">
        <v>0</v>
      </c>
      <c r="AW268" s="6" t="s">
        <v>1226</v>
      </c>
      <c r="AX268" s="31">
        <v>0</v>
      </c>
      <c r="AY268" s="31">
        <v>0</v>
      </c>
      <c r="AZ268" s="31">
        <v>0</v>
      </c>
      <c r="BA268" s="12">
        <f t="shared" si="20"/>
        <v>0</v>
      </c>
      <c r="BB268" s="31">
        <v>8</v>
      </c>
      <c r="BC268" s="31">
        <v>0</v>
      </c>
      <c r="BD268" s="31">
        <v>10</v>
      </c>
      <c r="BE268" s="31">
        <v>0</v>
      </c>
      <c r="BF268" s="12">
        <f t="shared" si="21"/>
        <v>10</v>
      </c>
      <c r="BG268" s="6" t="s">
        <v>636</v>
      </c>
      <c r="BH268" s="6" t="s">
        <v>1394</v>
      </c>
      <c r="BI268" s="6">
        <v>1</v>
      </c>
      <c r="BJ268" s="6" t="s">
        <v>609</v>
      </c>
      <c r="BK268" s="6">
        <v>1</v>
      </c>
      <c r="BL268" s="6">
        <v>0</v>
      </c>
      <c r="BM268" s="6">
        <v>1</v>
      </c>
      <c r="BN268" s="6">
        <v>0</v>
      </c>
      <c r="BO268" s="6">
        <v>0</v>
      </c>
      <c r="BP268" s="6">
        <v>0</v>
      </c>
      <c r="BQ268" s="6">
        <v>0</v>
      </c>
      <c r="BR268" s="6">
        <v>0</v>
      </c>
    </row>
    <row r="269" spans="1:70" ht="52.8" customHeight="1" x14ac:dyDescent="0.3">
      <c r="A269" s="6">
        <v>349653</v>
      </c>
      <c r="B269" s="6" t="s">
        <v>24</v>
      </c>
      <c r="C269" s="15" t="s">
        <v>538</v>
      </c>
      <c r="D269" s="6" t="s">
        <v>148</v>
      </c>
      <c r="E269" s="6" t="s">
        <v>15</v>
      </c>
      <c r="F269" s="7">
        <v>42419</v>
      </c>
      <c r="G269" s="7">
        <v>42473</v>
      </c>
      <c r="H269" s="8" t="s">
        <v>52</v>
      </c>
      <c r="I269" s="3" t="s">
        <v>48</v>
      </c>
      <c r="J269" s="3" t="s">
        <v>18</v>
      </c>
      <c r="K269" t="s">
        <v>19</v>
      </c>
      <c r="L269" s="6" t="s">
        <v>695</v>
      </c>
      <c r="M269" s="14" t="s">
        <v>724</v>
      </c>
      <c r="N269" s="6" t="s">
        <v>657</v>
      </c>
      <c r="O269" s="6">
        <v>0</v>
      </c>
      <c r="P269" s="6" t="s">
        <v>935</v>
      </c>
      <c r="Q269" s="35">
        <v>0</v>
      </c>
      <c r="R269" s="35">
        <v>0</v>
      </c>
      <c r="S269" s="35">
        <v>0</v>
      </c>
      <c r="T269" s="35">
        <v>1</v>
      </c>
      <c r="U269" s="35">
        <v>0</v>
      </c>
      <c r="V269" s="35">
        <v>0</v>
      </c>
      <c r="W269" s="35">
        <v>0</v>
      </c>
      <c r="X269" s="6" t="s">
        <v>860</v>
      </c>
      <c r="Y269" s="6">
        <v>1</v>
      </c>
      <c r="Z269" s="6">
        <v>1</v>
      </c>
      <c r="AA269" s="6">
        <v>1</v>
      </c>
      <c r="AB269" s="6">
        <v>1</v>
      </c>
      <c r="AC269" s="6">
        <v>1</v>
      </c>
      <c r="AD269" s="14" t="s">
        <v>21</v>
      </c>
      <c r="AE269" s="13" t="s">
        <v>305</v>
      </c>
      <c r="AF269" s="13" t="s">
        <v>150</v>
      </c>
      <c r="AG269" s="8" t="s">
        <v>1357</v>
      </c>
      <c r="AH269" s="11">
        <v>40840</v>
      </c>
      <c r="AI269" s="10">
        <v>545</v>
      </c>
      <c r="AJ269" s="12">
        <v>60</v>
      </c>
      <c r="AK269" s="12">
        <f t="shared" si="19"/>
        <v>11.009174311926607</v>
      </c>
      <c r="AL269" s="12" t="str">
        <f t="shared" si="22"/>
        <v>10% a 25%</v>
      </c>
      <c r="AM269" s="6" t="s">
        <v>1229</v>
      </c>
      <c r="AN269" s="6" t="s">
        <v>1454</v>
      </c>
      <c r="AO269" s="6" t="s">
        <v>699</v>
      </c>
      <c r="AP269" s="6">
        <v>0</v>
      </c>
      <c r="AQ269" s="6" t="s">
        <v>1228</v>
      </c>
      <c r="AR269" s="6" t="s">
        <v>1400</v>
      </c>
      <c r="AS269" s="6">
        <v>1</v>
      </c>
      <c r="AT269" s="6">
        <v>0</v>
      </c>
      <c r="AU269" s="6">
        <v>0</v>
      </c>
      <c r="AV269" s="6">
        <v>0</v>
      </c>
      <c r="AW269" s="6" t="s">
        <v>652</v>
      </c>
      <c r="AX269" s="31">
        <v>2</v>
      </c>
      <c r="AY269" s="31">
        <v>0</v>
      </c>
      <c r="AZ269" s="31">
        <v>0</v>
      </c>
      <c r="BA269" s="12">
        <f t="shared" si="20"/>
        <v>24.333333333333332</v>
      </c>
      <c r="BB269" s="31">
        <v>10</v>
      </c>
      <c r="BC269" s="31">
        <v>0</v>
      </c>
      <c r="BD269" s="31">
        <v>0</v>
      </c>
      <c r="BE269" s="31">
        <v>0</v>
      </c>
      <c r="BF269" s="12">
        <f t="shared" si="21"/>
        <v>0</v>
      </c>
      <c r="BG269" s="6" t="s">
        <v>636</v>
      </c>
      <c r="BH269" s="6" t="s">
        <v>1394</v>
      </c>
      <c r="BI269" s="6">
        <v>1</v>
      </c>
      <c r="BJ269" s="6" t="s">
        <v>609</v>
      </c>
      <c r="BK269" s="6">
        <v>0</v>
      </c>
      <c r="BL269" s="6">
        <v>0</v>
      </c>
      <c r="BM269" s="6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0</v>
      </c>
    </row>
    <row r="270" spans="1:70" ht="52.8" customHeight="1" x14ac:dyDescent="0.3">
      <c r="A270" s="6">
        <v>611025</v>
      </c>
      <c r="B270" s="6" t="s">
        <v>46</v>
      </c>
      <c r="C270" s="15" t="s">
        <v>539</v>
      </c>
      <c r="D270" s="6" t="s">
        <v>14</v>
      </c>
      <c r="E270" s="6" t="s">
        <v>15</v>
      </c>
      <c r="F270" s="7">
        <v>41953</v>
      </c>
      <c r="G270" s="7">
        <v>41976</v>
      </c>
      <c r="H270" s="8" t="s">
        <v>16</v>
      </c>
      <c r="I270" s="3" t="s">
        <v>17</v>
      </c>
      <c r="J270" s="3" t="s">
        <v>18</v>
      </c>
      <c r="K270" t="s">
        <v>19</v>
      </c>
      <c r="L270" s="6" t="s">
        <v>695</v>
      </c>
      <c r="M270" s="14" t="s">
        <v>626</v>
      </c>
      <c r="N270" s="6" t="s">
        <v>657</v>
      </c>
      <c r="O270" s="6">
        <v>0</v>
      </c>
      <c r="P270" s="6" t="s">
        <v>935</v>
      </c>
      <c r="Q270" s="35">
        <v>0</v>
      </c>
      <c r="R270" s="35">
        <v>0</v>
      </c>
      <c r="S270" s="35">
        <v>0</v>
      </c>
      <c r="T270" s="35">
        <v>1</v>
      </c>
      <c r="U270" s="35">
        <v>0</v>
      </c>
      <c r="V270" s="35">
        <v>0</v>
      </c>
      <c r="W270" s="35">
        <v>0</v>
      </c>
      <c r="X270" s="6" t="s">
        <v>1230</v>
      </c>
      <c r="Y270" s="6">
        <v>1</v>
      </c>
      <c r="Z270" s="6">
        <v>1</v>
      </c>
      <c r="AA270" s="6">
        <v>0</v>
      </c>
      <c r="AB270" s="6">
        <v>1</v>
      </c>
      <c r="AC270" s="6">
        <v>0</v>
      </c>
      <c r="AD270" s="14" t="s">
        <v>21</v>
      </c>
      <c r="AE270" s="13" t="s">
        <v>540</v>
      </c>
      <c r="AF270" s="13" t="s">
        <v>23</v>
      </c>
      <c r="AG270" s="8" t="s">
        <v>1357</v>
      </c>
      <c r="AH270" s="11">
        <v>41153</v>
      </c>
      <c r="AI270" s="10">
        <v>622</v>
      </c>
      <c r="AJ270" s="12">
        <v>80</v>
      </c>
      <c r="AK270" s="12">
        <f t="shared" si="19"/>
        <v>12.861736334405144</v>
      </c>
      <c r="AL270" s="12" t="str">
        <f t="shared" si="22"/>
        <v>10% a 25%</v>
      </c>
      <c r="AM270" s="6" t="s">
        <v>1231</v>
      </c>
      <c r="AN270" s="6" t="s">
        <v>1454</v>
      </c>
      <c r="AO270" s="6" t="s">
        <v>699</v>
      </c>
      <c r="AP270" s="6">
        <v>0</v>
      </c>
      <c r="AQ270" s="6" t="s">
        <v>658</v>
      </c>
      <c r="AR270" s="6" t="s">
        <v>1399</v>
      </c>
      <c r="AS270" s="6">
        <v>0</v>
      </c>
      <c r="AT270" s="6">
        <v>0</v>
      </c>
      <c r="AU270" s="6">
        <v>0</v>
      </c>
      <c r="AV270" s="6">
        <v>0</v>
      </c>
      <c r="AW270" s="6" t="s">
        <v>802</v>
      </c>
      <c r="AX270" s="31">
        <v>0</v>
      </c>
      <c r="AY270" s="31">
        <v>6</v>
      </c>
      <c r="AZ270" s="31">
        <v>0</v>
      </c>
      <c r="BA270" s="12">
        <f t="shared" si="20"/>
        <v>6</v>
      </c>
      <c r="BB270" s="31">
        <v>5</v>
      </c>
      <c r="BC270" s="31">
        <v>0</v>
      </c>
      <c r="BD270" s="31">
        <v>0</v>
      </c>
      <c r="BE270" s="31">
        <v>0</v>
      </c>
      <c r="BF270" s="12">
        <f t="shared" si="21"/>
        <v>0</v>
      </c>
      <c r="BG270" s="6" t="s">
        <v>636</v>
      </c>
      <c r="BH270" s="6" t="s">
        <v>1394</v>
      </c>
      <c r="BI270" s="6">
        <v>1</v>
      </c>
      <c r="BJ270" s="6" t="s">
        <v>609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</row>
    <row r="271" spans="1:70" ht="52.8" customHeight="1" x14ac:dyDescent="0.3">
      <c r="A271" s="6">
        <v>313556</v>
      </c>
      <c r="B271" s="6" t="s">
        <v>24</v>
      </c>
      <c r="C271" s="15" t="s">
        <v>541</v>
      </c>
      <c r="D271" s="6" t="s">
        <v>33</v>
      </c>
      <c r="E271" s="6" t="s">
        <v>15</v>
      </c>
      <c r="F271" s="7">
        <v>42010</v>
      </c>
      <c r="G271" s="7">
        <v>42704</v>
      </c>
      <c r="H271" s="8" t="s">
        <v>29</v>
      </c>
      <c r="I271" s="3" t="s">
        <v>17</v>
      </c>
      <c r="J271" s="3" t="s">
        <v>18</v>
      </c>
      <c r="K271" t="s">
        <v>19</v>
      </c>
      <c r="L271" s="6" t="s">
        <v>695</v>
      </c>
      <c r="M271" s="14" t="s">
        <v>35</v>
      </c>
      <c r="N271" s="6" t="s">
        <v>657</v>
      </c>
      <c r="O271" s="6">
        <v>0</v>
      </c>
      <c r="P271" s="6" t="s">
        <v>763</v>
      </c>
      <c r="Q271" s="35">
        <v>0</v>
      </c>
      <c r="R271" s="35">
        <v>0</v>
      </c>
      <c r="S271" s="35">
        <v>1</v>
      </c>
      <c r="T271" s="35">
        <v>0</v>
      </c>
      <c r="U271" s="35">
        <v>0</v>
      </c>
      <c r="V271" s="35">
        <v>0</v>
      </c>
      <c r="W271" s="35">
        <v>0</v>
      </c>
      <c r="X271" s="6" t="s">
        <v>801</v>
      </c>
      <c r="Y271" s="6">
        <v>1</v>
      </c>
      <c r="Z271" s="6">
        <v>0</v>
      </c>
      <c r="AA271" s="6">
        <v>0</v>
      </c>
      <c r="AB271" s="6">
        <v>1</v>
      </c>
      <c r="AC271" s="6">
        <v>0</v>
      </c>
      <c r="AD271" s="14" t="s">
        <v>21</v>
      </c>
      <c r="AE271" s="13" t="s">
        <v>542</v>
      </c>
      <c r="AF271" s="13" t="s">
        <v>36</v>
      </c>
      <c r="AG271" s="8" t="s">
        <v>1357</v>
      </c>
      <c r="AH271" s="11">
        <v>41499</v>
      </c>
      <c r="AI271" s="10">
        <v>678</v>
      </c>
      <c r="AJ271" s="12">
        <v>25.74</v>
      </c>
      <c r="AK271" s="12">
        <f t="shared" si="19"/>
        <v>3.7964601769911503</v>
      </c>
      <c r="AL271" s="12" t="str">
        <f t="shared" si="22"/>
        <v>Até 10%</v>
      </c>
      <c r="AM271" s="6" t="s">
        <v>1232</v>
      </c>
      <c r="AN271" s="6" t="s">
        <v>616</v>
      </c>
      <c r="AO271" s="6" t="s">
        <v>699</v>
      </c>
      <c r="AP271" s="6">
        <v>0</v>
      </c>
      <c r="AQ271" s="6" t="s">
        <v>658</v>
      </c>
      <c r="AR271" s="6" t="s">
        <v>1399</v>
      </c>
      <c r="AS271" s="6">
        <v>0</v>
      </c>
      <c r="AT271" s="6">
        <v>0</v>
      </c>
      <c r="AU271" s="6">
        <v>0</v>
      </c>
      <c r="AV271" s="6">
        <v>0</v>
      </c>
      <c r="AW271" s="6" t="s">
        <v>1233</v>
      </c>
      <c r="AX271" s="31">
        <v>0</v>
      </c>
      <c r="AY271" s="31">
        <v>9</v>
      </c>
      <c r="AZ271" s="31">
        <v>8</v>
      </c>
      <c r="BA271" s="12">
        <f t="shared" si="20"/>
        <v>9.2666666666666675</v>
      </c>
      <c r="BB271" s="31">
        <v>26</v>
      </c>
      <c r="BC271" s="31">
        <v>0</v>
      </c>
      <c r="BD271" s="31">
        <v>0</v>
      </c>
      <c r="BE271" s="31">
        <v>0</v>
      </c>
      <c r="BF271" s="12">
        <f t="shared" si="21"/>
        <v>0</v>
      </c>
      <c r="BG271" s="6" t="s">
        <v>615</v>
      </c>
      <c r="BH271" s="6" t="s">
        <v>1393</v>
      </c>
      <c r="BI271" s="6">
        <v>0</v>
      </c>
      <c r="BJ271" s="6" t="s">
        <v>609</v>
      </c>
      <c r="BK271" s="6">
        <v>0</v>
      </c>
      <c r="BL271" s="6">
        <v>1</v>
      </c>
      <c r="BM271" s="6">
        <v>1</v>
      </c>
      <c r="BN271" s="6">
        <v>0</v>
      </c>
      <c r="BO271" s="6">
        <v>0</v>
      </c>
      <c r="BP271" s="6">
        <v>0</v>
      </c>
      <c r="BQ271" s="6">
        <v>0</v>
      </c>
      <c r="BR271" s="6">
        <v>0</v>
      </c>
    </row>
    <row r="272" spans="1:70" ht="52.8" customHeight="1" x14ac:dyDescent="0.3">
      <c r="A272" s="6">
        <v>350367</v>
      </c>
      <c r="B272" s="6" t="s">
        <v>24</v>
      </c>
      <c r="C272" s="15" t="s">
        <v>543</v>
      </c>
      <c r="D272" s="6" t="s">
        <v>41</v>
      </c>
      <c r="E272" s="6" t="s">
        <v>15</v>
      </c>
      <c r="F272" s="7">
        <v>42427</v>
      </c>
      <c r="G272" s="7">
        <v>42549</v>
      </c>
      <c r="H272" s="8" t="s">
        <v>101</v>
      </c>
      <c r="I272" s="3" t="s">
        <v>17</v>
      </c>
      <c r="J272" s="3" t="s">
        <v>18</v>
      </c>
      <c r="K272" t="s">
        <v>19</v>
      </c>
      <c r="L272" s="6" t="s">
        <v>1227</v>
      </c>
      <c r="M272" s="14" t="s">
        <v>35</v>
      </c>
      <c r="N272" s="6" t="s">
        <v>657</v>
      </c>
      <c r="O272" s="6">
        <v>0</v>
      </c>
      <c r="P272" s="6" t="s">
        <v>1215</v>
      </c>
      <c r="Q272" s="35">
        <v>1</v>
      </c>
      <c r="R272" s="35">
        <v>0</v>
      </c>
      <c r="S272" s="35">
        <v>0</v>
      </c>
      <c r="T272" s="35">
        <v>1</v>
      </c>
      <c r="U272" s="35">
        <v>0</v>
      </c>
      <c r="V272" s="35">
        <v>0</v>
      </c>
      <c r="W272" s="35">
        <v>0</v>
      </c>
      <c r="X272" s="6" t="s">
        <v>780</v>
      </c>
      <c r="Y272" s="6">
        <v>1</v>
      </c>
      <c r="Z272" s="6">
        <v>1</v>
      </c>
      <c r="AA272" s="6">
        <v>0</v>
      </c>
      <c r="AB272" s="6">
        <v>0</v>
      </c>
      <c r="AC272" s="6">
        <v>0</v>
      </c>
      <c r="AD272" s="14" t="s">
        <v>43</v>
      </c>
      <c r="AE272" s="13" t="s">
        <v>544</v>
      </c>
      <c r="AF272" s="13" t="s">
        <v>45</v>
      </c>
      <c r="AG272" s="8" t="s">
        <v>1357</v>
      </c>
      <c r="AH272" s="11">
        <v>41988</v>
      </c>
      <c r="AI272" s="10">
        <v>724</v>
      </c>
      <c r="AJ272" s="12">
        <v>380</v>
      </c>
      <c r="AK272" s="12">
        <f t="shared" si="19"/>
        <v>52.486187845303867</v>
      </c>
      <c r="AL272" s="12" t="str">
        <f t="shared" si="22"/>
        <v>Acima de 50%</v>
      </c>
      <c r="AM272" s="6" t="s">
        <v>786</v>
      </c>
      <c r="AN272" s="6" t="s">
        <v>1455</v>
      </c>
      <c r="AO272" s="6" t="s">
        <v>701</v>
      </c>
      <c r="AP272" s="6">
        <v>1</v>
      </c>
      <c r="AQ272" s="6" t="s">
        <v>658</v>
      </c>
      <c r="AR272" s="6" t="s">
        <v>1399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31">
        <v>0</v>
      </c>
      <c r="AY272" s="31">
        <v>0</v>
      </c>
      <c r="AZ272" s="31">
        <v>0</v>
      </c>
      <c r="BA272" s="12">
        <f t="shared" si="20"/>
        <v>0</v>
      </c>
      <c r="BB272" s="31">
        <v>0</v>
      </c>
      <c r="BC272" s="31">
        <v>0</v>
      </c>
      <c r="BD272" s="31">
        <v>0</v>
      </c>
      <c r="BE272" s="31">
        <v>0</v>
      </c>
      <c r="BF272" s="12">
        <f t="shared" si="21"/>
        <v>0</v>
      </c>
      <c r="BG272" s="6">
        <v>0</v>
      </c>
      <c r="BH272" s="6">
        <v>0</v>
      </c>
      <c r="BI272" s="6">
        <v>0</v>
      </c>
      <c r="BJ272" s="6" t="s">
        <v>620</v>
      </c>
      <c r="BK272" s="6">
        <v>0</v>
      </c>
      <c r="BL272" s="6">
        <v>0</v>
      </c>
      <c r="BM272" s="6">
        <v>0</v>
      </c>
      <c r="BN272" s="6">
        <v>0</v>
      </c>
      <c r="BO272" s="6" t="s">
        <v>1234</v>
      </c>
      <c r="BP272" s="6" t="s">
        <v>1459</v>
      </c>
      <c r="BQ272" s="6" t="s">
        <v>1460</v>
      </c>
      <c r="BR272" s="6" t="s">
        <v>1460</v>
      </c>
    </row>
    <row r="273" spans="1:70" ht="52.8" customHeight="1" x14ac:dyDescent="0.3">
      <c r="A273" s="6">
        <v>829764</v>
      </c>
      <c r="B273" s="6" t="s">
        <v>13</v>
      </c>
      <c r="C273" s="15" t="s">
        <v>1236</v>
      </c>
      <c r="D273" s="6" t="s">
        <v>148</v>
      </c>
      <c r="E273" s="6" t="s">
        <v>15</v>
      </c>
      <c r="F273" s="7">
        <v>42356</v>
      </c>
      <c r="G273" s="7">
        <v>42444</v>
      </c>
      <c r="H273" s="8" t="s">
        <v>71</v>
      </c>
      <c r="I273" s="3" t="s">
        <v>48</v>
      </c>
      <c r="J273" s="3" t="s">
        <v>18</v>
      </c>
      <c r="K273" t="s">
        <v>19</v>
      </c>
      <c r="L273" s="6" t="s">
        <v>695</v>
      </c>
      <c r="M273" s="14" t="s">
        <v>626</v>
      </c>
      <c r="N273" s="6" t="s">
        <v>657</v>
      </c>
      <c r="O273" s="6">
        <v>0</v>
      </c>
      <c r="P273" s="6" t="s">
        <v>942</v>
      </c>
      <c r="Q273" s="35">
        <v>0</v>
      </c>
      <c r="R273" s="35">
        <v>0</v>
      </c>
      <c r="S273" s="35">
        <v>1</v>
      </c>
      <c r="T273" s="35">
        <v>0</v>
      </c>
      <c r="U273" s="35">
        <v>0</v>
      </c>
      <c r="V273" s="35">
        <v>0</v>
      </c>
      <c r="W273" s="35">
        <v>0</v>
      </c>
      <c r="X273" s="6" t="s">
        <v>801</v>
      </c>
      <c r="Y273" s="6">
        <v>1</v>
      </c>
      <c r="Z273" s="6">
        <v>0</v>
      </c>
      <c r="AA273" s="6">
        <v>0</v>
      </c>
      <c r="AB273" s="6">
        <v>1</v>
      </c>
      <c r="AC273" s="6">
        <v>0</v>
      </c>
      <c r="AD273" s="14" t="s">
        <v>43</v>
      </c>
      <c r="AE273" s="13" t="s">
        <v>149</v>
      </c>
      <c r="AF273" s="13" t="s">
        <v>150</v>
      </c>
      <c r="AG273" s="8" t="s">
        <v>1357</v>
      </c>
      <c r="AH273" s="11">
        <v>41148</v>
      </c>
      <c r="AI273" s="10">
        <v>622</v>
      </c>
      <c r="AJ273" s="12">
        <v>74</v>
      </c>
      <c r="AK273" s="12">
        <f t="shared" si="19"/>
        <v>11.89710610932476</v>
      </c>
      <c r="AL273" s="12" t="str">
        <f t="shared" si="22"/>
        <v>10% a 25%</v>
      </c>
      <c r="AM273" s="6" t="s">
        <v>1237</v>
      </c>
      <c r="AN273" s="6" t="s">
        <v>1454</v>
      </c>
      <c r="AO273" s="6" t="s">
        <v>699</v>
      </c>
      <c r="AP273" s="6">
        <v>0</v>
      </c>
      <c r="AQ273" s="6" t="s">
        <v>628</v>
      </c>
      <c r="AR273" s="6" t="s">
        <v>1400</v>
      </c>
      <c r="AS273" s="6">
        <v>1</v>
      </c>
      <c r="AT273" s="6">
        <v>0</v>
      </c>
      <c r="AU273" s="6">
        <v>0</v>
      </c>
      <c r="AV273" s="6">
        <v>0</v>
      </c>
      <c r="AW273" s="6" t="s">
        <v>764</v>
      </c>
      <c r="AX273" s="31">
        <v>4</v>
      </c>
      <c r="AY273" s="31">
        <v>0</v>
      </c>
      <c r="AZ273" s="31">
        <v>0</v>
      </c>
      <c r="BA273" s="12">
        <f t="shared" si="20"/>
        <v>48.666666666666664</v>
      </c>
      <c r="BB273" s="31">
        <v>40</v>
      </c>
      <c r="BC273" s="31">
        <v>0</v>
      </c>
      <c r="BD273" s="31">
        <v>0</v>
      </c>
      <c r="BE273" s="31">
        <v>0</v>
      </c>
      <c r="BF273" s="12">
        <f t="shared" si="21"/>
        <v>0</v>
      </c>
      <c r="BG273" s="6" t="s">
        <v>615</v>
      </c>
      <c r="BH273" s="6" t="s">
        <v>1393</v>
      </c>
      <c r="BI273" s="6">
        <v>0</v>
      </c>
      <c r="BJ273" s="6" t="s">
        <v>609</v>
      </c>
      <c r="BK273" s="6">
        <v>1</v>
      </c>
      <c r="BL273" s="6">
        <v>0</v>
      </c>
      <c r="BM273" s="6">
        <v>0</v>
      </c>
      <c r="BN273" s="6">
        <v>0</v>
      </c>
      <c r="BO273" s="6" t="s">
        <v>1238</v>
      </c>
      <c r="BP273" s="6" t="s">
        <v>1459</v>
      </c>
      <c r="BQ273" s="6" t="s">
        <v>1461</v>
      </c>
      <c r="BR273" s="6" t="s">
        <v>1461</v>
      </c>
    </row>
    <row r="274" spans="1:70" ht="52.8" customHeight="1" x14ac:dyDescent="0.3">
      <c r="A274" s="6">
        <v>603339</v>
      </c>
      <c r="B274" s="6" t="s">
        <v>46</v>
      </c>
      <c r="C274" s="15" t="s">
        <v>545</v>
      </c>
      <c r="D274" s="6" t="s">
        <v>64</v>
      </c>
      <c r="E274" s="6" t="s">
        <v>15</v>
      </c>
      <c r="F274" s="7">
        <v>41940</v>
      </c>
      <c r="G274" s="7">
        <v>41970</v>
      </c>
      <c r="H274" s="8" t="s">
        <v>77</v>
      </c>
      <c r="I274" s="3" t="s">
        <v>48</v>
      </c>
      <c r="J274" s="3" t="s">
        <v>18</v>
      </c>
      <c r="K274" t="s">
        <v>19</v>
      </c>
      <c r="L274" s="6" t="s">
        <v>696</v>
      </c>
      <c r="M274" s="14" t="s">
        <v>626</v>
      </c>
      <c r="N274" s="6" t="s">
        <v>657</v>
      </c>
      <c r="O274" s="6">
        <v>0</v>
      </c>
      <c r="P274" s="6" t="s">
        <v>1215</v>
      </c>
      <c r="Q274" s="35">
        <v>1</v>
      </c>
      <c r="R274" s="35">
        <v>0</v>
      </c>
      <c r="S274" s="35">
        <v>0</v>
      </c>
      <c r="T274" s="35">
        <v>1</v>
      </c>
      <c r="U274" s="35">
        <v>0</v>
      </c>
      <c r="V274" s="35">
        <v>0</v>
      </c>
      <c r="W274" s="35">
        <v>0</v>
      </c>
      <c r="X274" s="6" t="s">
        <v>971</v>
      </c>
      <c r="Y274" s="6">
        <v>1</v>
      </c>
      <c r="Z274" s="6">
        <v>0</v>
      </c>
      <c r="AA274" s="6">
        <v>0</v>
      </c>
      <c r="AB274" s="6">
        <v>0</v>
      </c>
      <c r="AC274" s="6">
        <v>1</v>
      </c>
      <c r="AD274" s="14" t="s">
        <v>21</v>
      </c>
      <c r="AE274" s="13" t="s">
        <v>546</v>
      </c>
      <c r="AF274" s="13" t="s">
        <v>547</v>
      </c>
      <c r="AG274" s="8" t="s">
        <v>1349</v>
      </c>
      <c r="AH274" s="11">
        <v>40753</v>
      </c>
      <c r="AI274" s="10">
        <v>545</v>
      </c>
      <c r="AJ274" s="12">
        <v>160</v>
      </c>
      <c r="AK274" s="12">
        <f t="shared" si="19"/>
        <v>29.357798165137616</v>
      </c>
      <c r="AL274" s="12" t="str">
        <f t="shared" si="22"/>
        <v>25% a 50%</v>
      </c>
      <c r="AM274" s="12" t="s">
        <v>1239</v>
      </c>
      <c r="AN274" s="12" t="s">
        <v>1455</v>
      </c>
      <c r="AO274" s="6" t="s">
        <v>699</v>
      </c>
      <c r="AP274" s="6">
        <v>0</v>
      </c>
      <c r="AQ274" s="6" t="s">
        <v>1241</v>
      </c>
      <c r="AR274" s="6" t="s">
        <v>1403</v>
      </c>
      <c r="AS274" s="6">
        <v>1</v>
      </c>
      <c r="AT274" s="6">
        <v>0</v>
      </c>
      <c r="AU274" s="6">
        <v>0</v>
      </c>
      <c r="AV274" s="6">
        <v>0</v>
      </c>
      <c r="AW274" s="6" t="s">
        <v>644</v>
      </c>
      <c r="AX274" s="31">
        <v>0</v>
      </c>
      <c r="AY274" s="31">
        <v>0</v>
      </c>
      <c r="AZ274" s="31">
        <v>0</v>
      </c>
      <c r="BA274" s="12">
        <f t="shared" si="20"/>
        <v>0</v>
      </c>
      <c r="BB274" s="31">
        <v>10</v>
      </c>
      <c r="BC274" s="31">
        <v>0</v>
      </c>
      <c r="BD274" s="31">
        <v>0</v>
      </c>
      <c r="BE274" s="31">
        <v>0</v>
      </c>
      <c r="BF274" s="12">
        <f t="shared" si="21"/>
        <v>0</v>
      </c>
      <c r="BG274" s="6">
        <v>0</v>
      </c>
      <c r="BH274" s="6">
        <v>0</v>
      </c>
      <c r="BI274" s="6">
        <v>0</v>
      </c>
      <c r="BJ274" s="6" t="s">
        <v>609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</row>
    <row r="275" spans="1:70" ht="52.8" customHeight="1" x14ac:dyDescent="0.3">
      <c r="A275" s="6">
        <v>1521419</v>
      </c>
      <c r="B275" s="6" t="s">
        <v>26</v>
      </c>
      <c r="C275" s="15" t="s">
        <v>548</v>
      </c>
      <c r="D275" s="6" t="s">
        <v>64</v>
      </c>
      <c r="E275" s="6" t="s">
        <v>15</v>
      </c>
      <c r="F275" s="7">
        <v>42089</v>
      </c>
      <c r="G275" s="7">
        <v>42583</v>
      </c>
      <c r="H275" s="8" t="s">
        <v>42</v>
      </c>
      <c r="I275" s="3" t="s">
        <v>48</v>
      </c>
      <c r="J275" s="3" t="s">
        <v>18</v>
      </c>
      <c r="K275" t="s">
        <v>19</v>
      </c>
      <c r="L275" s="6" t="s">
        <v>696</v>
      </c>
      <c r="M275" s="14" t="s">
        <v>626</v>
      </c>
      <c r="N275" s="6" t="s">
        <v>657</v>
      </c>
      <c r="O275" s="6">
        <v>0</v>
      </c>
      <c r="P275" s="6" t="s">
        <v>735</v>
      </c>
      <c r="Q275" s="35">
        <v>1</v>
      </c>
      <c r="R275" s="35">
        <v>0</v>
      </c>
      <c r="S275" s="35">
        <v>0</v>
      </c>
      <c r="T275" s="35">
        <v>0</v>
      </c>
      <c r="U275" s="35">
        <v>0</v>
      </c>
      <c r="V275" s="35">
        <v>0</v>
      </c>
      <c r="W275" s="35">
        <v>0</v>
      </c>
      <c r="X275" s="6" t="s">
        <v>971</v>
      </c>
      <c r="Y275" s="6">
        <v>1</v>
      </c>
      <c r="Z275" s="6">
        <v>0</v>
      </c>
      <c r="AA275" s="6">
        <v>0</v>
      </c>
      <c r="AB275" s="6">
        <v>0</v>
      </c>
      <c r="AC275" s="6">
        <v>1</v>
      </c>
      <c r="AD275" s="14" t="s">
        <v>21</v>
      </c>
      <c r="AE275" s="13" t="s">
        <v>79</v>
      </c>
      <c r="AF275" s="13" t="s">
        <v>1240</v>
      </c>
      <c r="AG275" s="8" t="s">
        <v>1357</v>
      </c>
      <c r="AH275" s="11">
        <v>41431</v>
      </c>
      <c r="AI275" s="10">
        <v>678</v>
      </c>
      <c r="AJ275" s="12">
        <v>89.98</v>
      </c>
      <c r="AK275" s="12">
        <f t="shared" si="19"/>
        <v>13.271386430678467</v>
      </c>
      <c r="AL275" s="12" t="str">
        <f t="shared" si="22"/>
        <v>10% a 25%</v>
      </c>
      <c r="AM275" s="6" t="s">
        <v>1242</v>
      </c>
      <c r="AN275" s="6" t="s">
        <v>655</v>
      </c>
      <c r="AO275" s="6" t="s">
        <v>701</v>
      </c>
      <c r="AP275" s="6">
        <v>1</v>
      </c>
      <c r="AQ275" s="6" t="s">
        <v>777</v>
      </c>
      <c r="AR275" s="6" t="s">
        <v>1401</v>
      </c>
      <c r="AS275" s="6">
        <v>0</v>
      </c>
      <c r="AT275" s="6">
        <v>0</v>
      </c>
      <c r="AU275" s="6">
        <v>0</v>
      </c>
      <c r="AV275" s="6">
        <v>0</v>
      </c>
      <c r="AW275" s="6" t="s">
        <v>1021</v>
      </c>
      <c r="AX275" s="31">
        <v>0</v>
      </c>
      <c r="AY275" s="31">
        <v>5</v>
      </c>
      <c r="AZ275" s="31">
        <v>10</v>
      </c>
      <c r="BA275" s="12">
        <f t="shared" si="20"/>
        <v>5.333333333333333</v>
      </c>
      <c r="BB275" s="31">
        <v>4</v>
      </c>
      <c r="BC275" s="31">
        <v>0</v>
      </c>
      <c r="BD275" s="31">
        <v>0</v>
      </c>
      <c r="BE275" s="31">
        <v>0</v>
      </c>
      <c r="BF275" s="12">
        <f t="shared" si="21"/>
        <v>0</v>
      </c>
      <c r="BG275" s="6" t="s">
        <v>636</v>
      </c>
      <c r="BH275" s="6" t="s">
        <v>1394</v>
      </c>
      <c r="BI275" s="6">
        <v>1</v>
      </c>
      <c r="BJ275" s="6" t="s">
        <v>609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</row>
    <row r="276" spans="1:70" ht="52.8" customHeight="1" x14ac:dyDescent="0.3">
      <c r="A276" s="6">
        <v>343338</v>
      </c>
      <c r="B276" s="6" t="s">
        <v>24</v>
      </c>
      <c r="C276" s="15" t="s">
        <v>549</v>
      </c>
      <c r="D276" s="6" t="s">
        <v>106</v>
      </c>
      <c r="E276" s="6" t="s">
        <v>15</v>
      </c>
      <c r="F276" s="7">
        <v>42334</v>
      </c>
      <c r="G276" s="7">
        <v>42948</v>
      </c>
      <c r="H276" s="8" t="s">
        <v>29</v>
      </c>
      <c r="I276" s="3" t="s">
        <v>17</v>
      </c>
      <c r="J276" s="3" t="s">
        <v>18</v>
      </c>
      <c r="K276" t="s">
        <v>19</v>
      </c>
      <c r="L276" s="6" t="s">
        <v>695</v>
      </c>
      <c r="M276" s="14" t="s">
        <v>1243</v>
      </c>
      <c r="N276" s="6" t="s">
        <v>657</v>
      </c>
      <c r="O276" s="6">
        <v>0</v>
      </c>
      <c r="P276" s="6" t="s">
        <v>702</v>
      </c>
      <c r="Q276" s="35">
        <v>1</v>
      </c>
      <c r="R276" s="35">
        <v>0</v>
      </c>
      <c r="S276" s="35">
        <v>1</v>
      </c>
      <c r="T276" s="35">
        <v>0</v>
      </c>
      <c r="U276" s="35">
        <v>0</v>
      </c>
      <c r="V276" s="35">
        <v>0</v>
      </c>
      <c r="W276" s="35">
        <v>0</v>
      </c>
      <c r="X276" s="6" t="s">
        <v>860</v>
      </c>
      <c r="Y276" s="6">
        <v>1</v>
      </c>
      <c r="Z276" s="6">
        <v>1</v>
      </c>
      <c r="AA276" s="6">
        <v>1</v>
      </c>
      <c r="AB276" s="6">
        <v>1</v>
      </c>
      <c r="AC276" s="6">
        <v>1</v>
      </c>
      <c r="AD276" s="14" t="s">
        <v>21</v>
      </c>
      <c r="AE276" s="13" t="s">
        <v>550</v>
      </c>
      <c r="AF276" s="13" t="s">
        <v>108</v>
      </c>
      <c r="AG276" s="8" t="s">
        <v>1357</v>
      </c>
      <c r="AH276" s="11">
        <v>41185</v>
      </c>
      <c r="AI276" s="10">
        <v>622</v>
      </c>
      <c r="AJ276" s="12">
        <v>472</v>
      </c>
      <c r="AK276" s="12">
        <f t="shared" si="19"/>
        <v>75.884244372990352</v>
      </c>
      <c r="AL276" s="12" t="str">
        <f t="shared" si="22"/>
        <v>Acima de 50%</v>
      </c>
      <c r="AM276" s="6" t="s">
        <v>1244</v>
      </c>
      <c r="AN276" s="6" t="s">
        <v>1452</v>
      </c>
      <c r="AO276" s="6" t="s">
        <v>699</v>
      </c>
      <c r="AP276" s="6">
        <v>0</v>
      </c>
      <c r="AQ276" s="6" t="s">
        <v>613</v>
      </c>
      <c r="AR276" s="6" t="s">
        <v>1399</v>
      </c>
      <c r="AS276" s="6">
        <v>1</v>
      </c>
      <c r="AT276" s="6">
        <v>0</v>
      </c>
      <c r="AU276" s="6">
        <v>0</v>
      </c>
      <c r="AV276" s="6">
        <v>0</v>
      </c>
      <c r="AW276" s="6" t="s">
        <v>686</v>
      </c>
      <c r="AX276" s="31">
        <v>1</v>
      </c>
      <c r="AY276" s="31">
        <v>0</v>
      </c>
      <c r="AZ276" s="31">
        <v>0</v>
      </c>
      <c r="BA276" s="12">
        <f t="shared" si="20"/>
        <v>12.166666666666666</v>
      </c>
      <c r="BB276" s="31">
        <v>10</v>
      </c>
      <c r="BC276" s="31">
        <v>0</v>
      </c>
      <c r="BD276" s="31">
        <v>0</v>
      </c>
      <c r="BE276" s="31">
        <v>0</v>
      </c>
      <c r="BF276" s="12">
        <f t="shared" si="21"/>
        <v>0</v>
      </c>
      <c r="BG276" s="6" t="s">
        <v>636</v>
      </c>
      <c r="BH276" s="6" t="s">
        <v>1394</v>
      </c>
      <c r="BI276" s="6">
        <v>1</v>
      </c>
      <c r="BJ276" s="6" t="s">
        <v>609</v>
      </c>
      <c r="BK276" s="6">
        <v>0</v>
      </c>
      <c r="BL276" s="6">
        <v>0</v>
      </c>
      <c r="BM276" s="6">
        <v>0</v>
      </c>
      <c r="BN276" s="6">
        <v>1</v>
      </c>
      <c r="BO276" s="6">
        <v>0</v>
      </c>
      <c r="BP276" s="6">
        <v>0</v>
      </c>
      <c r="BQ276" s="6">
        <v>0</v>
      </c>
      <c r="BR276" s="6">
        <v>0</v>
      </c>
    </row>
    <row r="277" spans="1:70" ht="52.8" customHeight="1" x14ac:dyDescent="0.3">
      <c r="A277" s="6">
        <v>341404</v>
      </c>
      <c r="B277" s="6" t="s">
        <v>24</v>
      </c>
      <c r="C277" s="15" t="s">
        <v>551</v>
      </c>
      <c r="D277" s="6" t="s">
        <v>55</v>
      </c>
      <c r="E277" s="6" t="s">
        <v>15</v>
      </c>
      <c r="F277" s="7">
        <v>42314</v>
      </c>
      <c r="G277" s="7">
        <v>42355</v>
      </c>
      <c r="H277" s="8" t="s">
        <v>101</v>
      </c>
      <c r="I277" s="3" t="s">
        <v>17</v>
      </c>
      <c r="J277" s="3" t="s">
        <v>18</v>
      </c>
      <c r="K277" t="s">
        <v>19</v>
      </c>
      <c r="L277" s="6" t="s">
        <v>695</v>
      </c>
      <c r="M277" s="14" t="s">
        <v>35</v>
      </c>
      <c r="N277" s="6" t="s">
        <v>657</v>
      </c>
      <c r="O277" s="6">
        <v>0</v>
      </c>
      <c r="P277" s="6" t="s">
        <v>1248</v>
      </c>
      <c r="Q277" s="35">
        <v>0</v>
      </c>
      <c r="R277" s="35">
        <v>0</v>
      </c>
      <c r="S277" s="35">
        <v>0</v>
      </c>
      <c r="T277" s="35">
        <v>1</v>
      </c>
      <c r="U277" s="35">
        <v>0</v>
      </c>
      <c r="V277" s="35">
        <v>0</v>
      </c>
      <c r="W277" s="35">
        <v>0</v>
      </c>
      <c r="X277" s="6" t="s">
        <v>1187</v>
      </c>
      <c r="Y277" s="6">
        <v>1</v>
      </c>
      <c r="Z277" s="6">
        <v>1</v>
      </c>
      <c r="AA277" s="6">
        <v>1</v>
      </c>
      <c r="AB277" s="6">
        <v>1</v>
      </c>
      <c r="AC277" s="6">
        <v>0</v>
      </c>
      <c r="AD277" s="14" t="s">
        <v>43</v>
      </c>
      <c r="AE277" s="13" t="s">
        <v>552</v>
      </c>
      <c r="AF277" s="13" t="s">
        <v>1246</v>
      </c>
      <c r="AG277" s="8" t="s">
        <v>1348</v>
      </c>
      <c r="AH277" s="11">
        <v>40403</v>
      </c>
      <c r="AI277" s="10">
        <v>510</v>
      </c>
      <c r="AJ277" s="12">
        <v>0</v>
      </c>
      <c r="AK277" s="12">
        <f t="shared" si="19"/>
        <v>0</v>
      </c>
      <c r="AL277" s="12" t="str">
        <f t="shared" si="22"/>
        <v>Não Informado</v>
      </c>
      <c r="AM277" s="6" t="s">
        <v>1247</v>
      </c>
      <c r="AN277" s="6" t="s">
        <v>1454</v>
      </c>
      <c r="AO277" s="6">
        <v>0</v>
      </c>
      <c r="AP277" s="6">
        <v>0</v>
      </c>
      <c r="AQ277" s="6" t="s">
        <v>685</v>
      </c>
      <c r="AR277" s="6" t="s">
        <v>1404</v>
      </c>
      <c r="AS277" s="6">
        <v>1</v>
      </c>
      <c r="AT277" s="6">
        <v>0</v>
      </c>
      <c r="AU277" s="6">
        <v>0</v>
      </c>
      <c r="AV277" s="6">
        <v>0</v>
      </c>
      <c r="AW277" s="6" t="s">
        <v>686</v>
      </c>
      <c r="AX277" s="31">
        <v>1</v>
      </c>
      <c r="AY277" s="31">
        <v>0</v>
      </c>
      <c r="AZ277" s="31">
        <v>0</v>
      </c>
      <c r="BA277" s="12">
        <f t="shared" si="20"/>
        <v>12.166666666666666</v>
      </c>
      <c r="BB277" s="31">
        <v>10</v>
      </c>
      <c r="BC277" s="31">
        <v>0</v>
      </c>
      <c r="BD277" s="31">
        <v>0</v>
      </c>
      <c r="BE277" s="31">
        <v>0</v>
      </c>
      <c r="BF277" s="12">
        <f t="shared" si="21"/>
        <v>0</v>
      </c>
      <c r="BG277" s="6" t="s">
        <v>636</v>
      </c>
      <c r="BH277" s="6" t="s">
        <v>1394</v>
      </c>
      <c r="BI277" s="6">
        <v>1</v>
      </c>
      <c r="BJ277" s="6" t="s">
        <v>609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</row>
    <row r="278" spans="1:70" ht="52.8" customHeight="1" x14ac:dyDescent="0.3">
      <c r="A278" s="6">
        <v>615572</v>
      </c>
      <c r="B278" s="6" t="s">
        <v>13</v>
      </c>
      <c r="C278" s="15" t="s">
        <v>1249</v>
      </c>
      <c r="D278" s="6" t="s">
        <v>47</v>
      </c>
      <c r="E278" s="6" t="s">
        <v>15</v>
      </c>
      <c r="F278" s="7">
        <v>41961</v>
      </c>
      <c r="G278" s="7">
        <v>42145</v>
      </c>
      <c r="H278" s="8" t="s">
        <v>52</v>
      </c>
      <c r="I278" s="3" t="s">
        <v>17</v>
      </c>
      <c r="J278" s="3" t="s">
        <v>18</v>
      </c>
      <c r="K278" t="s">
        <v>19</v>
      </c>
      <c r="L278" s="6" t="s">
        <v>695</v>
      </c>
      <c r="M278" s="14" t="s">
        <v>626</v>
      </c>
      <c r="N278" s="6" t="s">
        <v>657</v>
      </c>
      <c r="O278" s="6">
        <v>0</v>
      </c>
      <c r="P278" s="6" t="s">
        <v>735</v>
      </c>
      <c r="Q278" s="35">
        <v>1</v>
      </c>
      <c r="R278" s="35">
        <v>0</v>
      </c>
      <c r="S278" s="35">
        <v>0</v>
      </c>
      <c r="T278" s="35">
        <v>0</v>
      </c>
      <c r="U278" s="35">
        <v>0</v>
      </c>
      <c r="V278" s="35">
        <v>0</v>
      </c>
      <c r="W278" s="35">
        <v>0</v>
      </c>
      <c r="X278" s="6" t="s">
        <v>657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14" t="s">
        <v>43</v>
      </c>
      <c r="AE278" s="13" t="s">
        <v>553</v>
      </c>
      <c r="AF278" s="13" t="s">
        <v>194</v>
      </c>
      <c r="AG278" s="8" t="s">
        <v>194</v>
      </c>
      <c r="AH278" s="11">
        <v>40703</v>
      </c>
      <c r="AI278" s="10">
        <v>545</v>
      </c>
      <c r="AJ278" s="12">
        <v>160</v>
      </c>
      <c r="AK278" s="12">
        <f t="shared" si="19"/>
        <v>29.357798165137616</v>
      </c>
      <c r="AL278" s="12" t="str">
        <f t="shared" si="22"/>
        <v>25% a 50%</v>
      </c>
      <c r="AM278" s="6" t="s">
        <v>1250</v>
      </c>
      <c r="AN278" s="6" t="s">
        <v>655</v>
      </c>
      <c r="AO278" s="6" t="s">
        <v>699</v>
      </c>
      <c r="AP278" s="6">
        <v>0</v>
      </c>
      <c r="AQ278" s="6" t="s">
        <v>1251</v>
      </c>
      <c r="AR278" s="6" t="s">
        <v>1399</v>
      </c>
      <c r="AS278" s="6">
        <v>1</v>
      </c>
      <c r="AT278" s="6">
        <v>0</v>
      </c>
      <c r="AU278" s="6">
        <v>0</v>
      </c>
      <c r="AV278" s="6">
        <v>0</v>
      </c>
      <c r="AW278" s="6" t="s">
        <v>1252</v>
      </c>
      <c r="AX278" s="31">
        <v>2</v>
      </c>
      <c r="AY278" s="31">
        <v>1</v>
      </c>
      <c r="AZ278" s="31">
        <v>0</v>
      </c>
      <c r="BA278" s="12">
        <f t="shared" si="20"/>
        <v>25.333333333333332</v>
      </c>
      <c r="BB278" s="31">
        <v>25</v>
      </c>
      <c r="BC278" s="31">
        <v>0</v>
      </c>
      <c r="BD278" s="31">
        <v>0</v>
      </c>
      <c r="BE278" s="31">
        <v>0</v>
      </c>
      <c r="BF278" s="12">
        <f t="shared" si="21"/>
        <v>0</v>
      </c>
      <c r="BG278" s="6" t="s">
        <v>637</v>
      </c>
      <c r="BH278" s="6" t="s">
        <v>1394</v>
      </c>
      <c r="BI278" s="6">
        <v>0</v>
      </c>
      <c r="BJ278" s="6" t="s">
        <v>617</v>
      </c>
      <c r="BK278" s="6">
        <v>0</v>
      </c>
      <c r="BL278" s="6">
        <v>0</v>
      </c>
      <c r="BM278" s="6">
        <v>0</v>
      </c>
      <c r="BN278" s="6">
        <v>1</v>
      </c>
      <c r="BO278" s="6" t="s">
        <v>1112</v>
      </c>
      <c r="BP278" s="6" t="s">
        <v>1461</v>
      </c>
      <c r="BQ278" s="6" t="s">
        <v>1459</v>
      </c>
      <c r="BR278" s="6" t="s">
        <v>1461</v>
      </c>
    </row>
    <row r="279" spans="1:70" ht="52.8" customHeight="1" x14ac:dyDescent="0.3">
      <c r="A279" s="6">
        <v>333738</v>
      </c>
      <c r="B279" s="6" t="s">
        <v>24</v>
      </c>
      <c r="C279" s="25" t="s">
        <v>1322</v>
      </c>
      <c r="D279" s="6" t="s">
        <v>14</v>
      </c>
      <c r="E279" s="6" t="s">
        <v>15</v>
      </c>
      <c r="F279" s="7">
        <v>42292</v>
      </c>
      <c r="G279" s="7">
        <v>42298</v>
      </c>
      <c r="H279" s="8" t="s">
        <v>118</v>
      </c>
      <c r="I279" s="3" t="s">
        <v>17</v>
      </c>
      <c r="J279" s="3" t="s">
        <v>18</v>
      </c>
      <c r="K279" t="s">
        <v>19</v>
      </c>
      <c r="L279" s="6" t="s">
        <v>696</v>
      </c>
      <c r="M279" s="14" t="s">
        <v>35</v>
      </c>
      <c r="N279" s="6" t="s">
        <v>657</v>
      </c>
      <c r="O279" s="6">
        <v>0</v>
      </c>
      <c r="P279" s="6" t="s">
        <v>1362</v>
      </c>
      <c r="Q279" s="35">
        <v>0</v>
      </c>
      <c r="R279" s="35">
        <v>1</v>
      </c>
      <c r="S279" s="35">
        <v>0</v>
      </c>
      <c r="T279" s="35">
        <v>1</v>
      </c>
      <c r="U279" s="35">
        <v>0</v>
      </c>
      <c r="V279" s="35">
        <v>0</v>
      </c>
      <c r="W279" s="35">
        <v>0</v>
      </c>
      <c r="X279" s="6" t="s">
        <v>801</v>
      </c>
      <c r="Y279" s="6">
        <v>1</v>
      </c>
      <c r="Z279" s="6">
        <v>0</v>
      </c>
      <c r="AA279" s="6">
        <v>0</v>
      </c>
      <c r="AB279" s="6">
        <v>1</v>
      </c>
      <c r="AC279" s="6">
        <v>0</v>
      </c>
      <c r="AD279" s="14" t="s">
        <v>21</v>
      </c>
      <c r="AE279" s="13" t="s">
        <v>554</v>
      </c>
      <c r="AF279" s="13" t="s">
        <v>23</v>
      </c>
      <c r="AG279" s="8" t="s">
        <v>1357</v>
      </c>
      <c r="AH279" s="11">
        <v>41890</v>
      </c>
      <c r="AI279" s="10">
        <v>724</v>
      </c>
      <c r="AJ279" s="12">
        <v>7.7</v>
      </c>
      <c r="AK279" s="12">
        <f t="shared" si="19"/>
        <v>1.0635359116022101</v>
      </c>
      <c r="AL279" s="12" t="str">
        <f t="shared" si="22"/>
        <v>Até 10%</v>
      </c>
      <c r="AM279" s="6" t="s">
        <v>774</v>
      </c>
      <c r="AN279" s="6" t="s">
        <v>1452</v>
      </c>
      <c r="AO279" s="6" t="s">
        <v>699</v>
      </c>
      <c r="AP279" s="6">
        <v>0</v>
      </c>
      <c r="AQ279" s="6" t="s">
        <v>1323</v>
      </c>
      <c r="AR279" s="6" t="s">
        <v>1400</v>
      </c>
      <c r="AS279" s="6">
        <v>0</v>
      </c>
      <c r="AT279" s="6">
        <v>0</v>
      </c>
      <c r="AU279" s="6">
        <v>0</v>
      </c>
      <c r="AV279" s="6">
        <v>0</v>
      </c>
      <c r="AW279" s="6" t="s">
        <v>1324</v>
      </c>
      <c r="AX279" s="31">
        <v>1</v>
      </c>
      <c r="AY279" s="31">
        <v>11</v>
      </c>
      <c r="AZ279" s="31">
        <v>10</v>
      </c>
      <c r="BA279" s="12">
        <f t="shared" si="20"/>
        <v>23.5</v>
      </c>
      <c r="BB279" s="31">
        <v>8</v>
      </c>
      <c r="BC279" s="31">
        <v>0</v>
      </c>
      <c r="BD279" s="31">
        <v>0</v>
      </c>
      <c r="BE279" s="31">
        <v>0</v>
      </c>
      <c r="BF279" s="12">
        <f t="shared" si="21"/>
        <v>0</v>
      </c>
      <c r="BG279" s="6" t="s">
        <v>611</v>
      </c>
      <c r="BH279" s="6" t="s">
        <v>1392</v>
      </c>
      <c r="BI279" s="6">
        <v>0</v>
      </c>
      <c r="BJ279" s="24" t="s">
        <v>609</v>
      </c>
      <c r="BK279" s="23">
        <v>1</v>
      </c>
      <c r="BL279" s="23">
        <v>1</v>
      </c>
      <c r="BM279" s="23">
        <v>0</v>
      </c>
      <c r="BN279" s="23">
        <v>0</v>
      </c>
      <c r="BO279" s="6">
        <v>0</v>
      </c>
      <c r="BP279" s="6">
        <v>0</v>
      </c>
      <c r="BQ279" s="6">
        <v>0</v>
      </c>
      <c r="BR279" s="6">
        <v>0</v>
      </c>
    </row>
    <row r="280" spans="1:70" ht="52.8" customHeight="1" x14ac:dyDescent="0.3">
      <c r="A280" s="6">
        <v>319917</v>
      </c>
      <c r="B280" s="6" t="s">
        <v>24</v>
      </c>
      <c r="C280" s="15" t="s">
        <v>555</v>
      </c>
      <c r="D280" s="6" t="s">
        <v>106</v>
      </c>
      <c r="E280" s="6" t="s">
        <v>15</v>
      </c>
      <c r="F280" s="7">
        <v>42093</v>
      </c>
      <c r="G280" s="7">
        <v>42241</v>
      </c>
      <c r="H280" s="8" t="s">
        <v>59</v>
      </c>
      <c r="I280" s="3" t="s">
        <v>17</v>
      </c>
      <c r="J280" s="3" t="s">
        <v>18</v>
      </c>
      <c r="K280" t="s">
        <v>19</v>
      </c>
      <c r="L280" s="6" t="s">
        <v>696</v>
      </c>
      <c r="M280" s="14" t="s">
        <v>35</v>
      </c>
      <c r="N280" s="6" t="s">
        <v>657</v>
      </c>
      <c r="O280" s="6">
        <v>0</v>
      </c>
      <c r="P280" s="6" t="s">
        <v>702</v>
      </c>
      <c r="Q280" s="35">
        <v>1</v>
      </c>
      <c r="R280" s="35">
        <v>0</v>
      </c>
      <c r="S280" s="35">
        <v>1</v>
      </c>
      <c r="T280" s="35">
        <v>0</v>
      </c>
      <c r="U280" s="35">
        <v>0</v>
      </c>
      <c r="V280" s="35">
        <v>0</v>
      </c>
      <c r="W280" s="35">
        <v>0</v>
      </c>
      <c r="X280" s="6" t="s">
        <v>657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14" t="s">
        <v>43</v>
      </c>
      <c r="AE280" s="13" t="s">
        <v>556</v>
      </c>
      <c r="AF280" s="13" t="s">
        <v>1253</v>
      </c>
      <c r="AG280" s="8" t="s">
        <v>1357</v>
      </c>
      <c r="AH280" s="11">
        <v>40057</v>
      </c>
      <c r="AI280" s="10">
        <v>465</v>
      </c>
      <c r="AJ280" s="12">
        <v>97.95</v>
      </c>
      <c r="AK280" s="12">
        <f t="shared" si="19"/>
        <v>21.06451612903226</v>
      </c>
      <c r="AL280" s="12" t="str">
        <f t="shared" si="22"/>
        <v>10% a 25%</v>
      </c>
      <c r="AM280" s="6" t="s">
        <v>737</v>
      </c>
      <c r="AN280" s="6" t="s">
        <v>1454</v>
      </c>
      <c r="AO280" s="6" t="s">
        <v>699</v>
      </c>
      <c r="AP280" s="6">
        <v>0</v>
      </c>
      <c r="AQ280" s="6" t="s">
        <v>777</v>
      </c>
      <c r="AR280" s="6" t="s">
        <v>1401</v>
      </c>
      <c r="AS280" s="6">
        <v>0</v>
      </c>
      <c r="AT280" s="6">
        <v>0</v>
      </c>
      <c r="AU280" s="6">
        <v>0</v>
      </c>
      <c r="AV280" s="6">
        <v>0</v>
      </c>
      <c r="AW280" s="6" t="s">
        <v>1254</v>
      </c>
      <c r="AX280" s="31">
        <v>0</v>
      </c>
      <c r="AY280" s="31">
        <v>0</v>
      </c>
      <c r="AZ280" s="31">
        <v>0</v>
      </c>
      <c r="BA280" s="12">
        <f t="shared" si="20"/>
        <v>0</v>
      </c>
      <c r="BB280" s="31">
        <v>3</v>
      </c>
      <c r="BC280" s="31">
        <v>0</v>
      </c>
      <c r="BD280" s="31">
        <v>4</v>
      </c>
      <c r="BE280" s="31">
        <v>0</v>
      </c>
      <c r="BF280" s="12">
        <f t="shared" si="21"/>
        <v>4</v>
      </c>
      <c r="BG280" s="6" t="s">
        <v>636</v>
      </c>
      <c r="BH280" s="6" t="s">
        <v>1394</v>
      </c>
      <c r="BI280" s="6">
        <v>1</v>
      </c>
      <c r="BJ280" s="6" t="s">
        <v>609</v>
      </c>
      <c r="BK280" s="6">
        <v>0</v>
      </c>
      <c r="BL280" s="6">
        <v>0</v>
      </c>
      <c r="BM280" s="6">
        <v>0</v>
      </c>
      <c r="BN280" s="6">
        <v>1</v>
      </c>
      <c r="BO280" s="6">
        <v>0</v>
      </c>
      <c r="BP280" s="6">
        <v>0</v>
      </c>
      <c r="BQ280" s="6">
        <v>0</v>
      </c>
      <c r="BR280" s="6">
        <v>0</v>
      </c>
    </row>
    <row r="281" spans="1:70" ht="52.8" customHeight="1" x14ac:dyDescent="0.3">
      <c r="A281" s="6">
        <v>1524212</v>
      </c>
      <c r="B281" s="6" t="s">
        <v>26</v>
      </c>
      <c r="C281" s="15" t="s">
        <v>557</v>
      </c>
      <c r="D281" s="6" t="s">
        <v>47</v>
      </c>
      <c r="E281" s="6" t="s">
        <v>15</v>
      </c>
      <c r="F281" s="7">
        <v>42103</v>
      </c>
      <c r="G281" s="7">
        <v>42145</v>
      </c>
      <c r="H281" s="8" t="s">
        <v>59</v>
      </c>
      <c r="I281" s="3" t="s">
        <v>17</v>
      </c>
      <c r="J281" s="3" t="s">
        <v>18</v>
      </c>
      <c r="K281" t="s">
        <v>19</v>
      </c>
      <c r="L281" s="6" t="s">
        <v>696</v>
      </c>
      <c r="M281" s="14" t="s">
        <v>1255</v>
      </c>
      <c r="N281" s="6" t="s">
        <v>703</v>
      </c>
      <c r="O281" s="6">
        <v>1</v>
      </c>
      <c r="P281" s="6" t="s">
        <v>1256</v>
      </c>
      <c r="Q281" s="35">
        <v>1</v>
      </c>
      <c r="R281" s="35">
        <v>0</v>
      </c>
      <c r="S281" s="35">
        <v>0</v>
      </c>
      <c r="T281" s="35">
        <v>0</v>
      </c>
      <c r="U281" s="35">
        <v>0</v>
      </c>
      <c r="V281" s="35">
        <v>1</v>
      </c>
      <c r="W281" s="35">
        <v>0</v>
      </c>
      <c r="X281" s="6" t="s">
        <v>657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14" t="s">
        <v>21</v>
      </c>
      <c r="AE281" s="13" t="s">
        <v>558</v>
      </c>
      <c r="AF281" s="13" t="s">
        <v>1257</v>
      </c>
      <c r="AG281" s="8" t="s">
        <v>1357</v>
      </c>
      <c r="AH281" s="11">
        <v>38964</v>
      </c>
      <c r="AI281" s="10">
        <v>350</v>
      </c>
      <c r="AJ281" s="12">
        <v>96</v>
      </c>
      <c r="AK281" s="12">
        <f t="shared" si="19"/>
        <v>27.428571428571431</v>
      </c>
      <c r="AL281" s="12" t="str">
        <f t="shared" si="22"/>
        <v>25% a 50%</v>
      </c>
      <c r="AM281" s="6" t="s">
        <v>786</v>
      </c>
      <c r="AN281" s="6" t="s">
        <v>1455</v>
      </c>
      <c r="AO281" s="6" t="s">
        <v>701</v>
      </c>
      <c r="AP281" s="6">
        <v>1</v>
      </c>
      <c r="AQ281" s="6" t="s">
        <v>1251</v>
      </c>
      <c r="AR281" s="6" t="s">
        <v>1399</v>
      </c>
      <c r="AS281" s="6">
        <v>1</v>
      </c>
      <c r="AT281" s="6">
        <v>0</v>
      </c>
      <c r="AU281" s="6">
        <v>0</v>
      </c>
      <c r="AV281" s="6">
        <v>0</v>
      </c>
      <c r="AW281" s="6">
        <v>0</v>
      </c>
      <c r="AX281" s="31">
        <v>0</v>
      </c>
      <c r="AY281" s="31">
        <v>0</v>
      </c>
      <c r="AZ281" s="31">
        <v>0</v>
      </c>
      <c r="BA281" s="12">
        <f t="shared" si="20"/>
        <v>0</v>
      </c>
      <c r="BB281" s="31">
        <v>0</v>
      </c>
      <c r="BC281" s="31">
        <v>0</v>
      </c>
      <c r="BD281" s="31">
        <v>0</v>
      </c>
      <c r="BE281" s="31">
        <v>0</v>
      </c>
      <c r="BF281" s="12">
        <f t="shared" si="21"/>
        <v>0</v>
      </c>
      <c r="BG281" s="6">
        <v>0</v>
      </c>
      <c r="BH281" s="6">
        <v>0</v>
      </c>
      <c r="BI281" s="6">
        <v>0</v>
      </c>
      <c r="BJ281" s="6" t="s">
        <v>617</v>
      </c>
      <c r="BK281" s="6">
        <v>0</v>
      </c>
      <c r="BL281" s="6">
        <v>0</v>
      </c>
      <c r="BM281" s="6">
        <v>0</v>
      </c>
      <c r="BN281" s="6">
        <v>0</v>
      </c>
      <c r="BO281" s="6" t="s">
        <v>1258</v>
      </c>
      <c r="BP281" s="6" t="s">
        <v>1459</v>
      </c>
      <c r="BQ281" s="6" t="s">
        <v>1459</v>
      </c>
      <c r="BR281" s="6" t="s">
        <v>1459</v>
      </c>
    </row>
    <row r="282" spans="1:70" ht="52.8" customHeight="1" x14ac:dyDescent="0.3">
      <c r="A282" s="6">
        <v>1541889</v>
      </c>
      <c r="B282" s="6" t="s">
        <v>26</v>
      </c>
      <c r="C282" s="15" t="s">
        <v>559</v>
      </c>
      <c r="D282" s="6" t="s">
        <v>28</v>
      </c>
      <c r="E282" s="6" t="s">
        <v>15</v>
      </c>
      <c r="F282" s="7">
        <v>42195</v>
      </c>
      <c r="G282" s="7">
        <v>42704</v>
      </c>
      <c r="H282" s="8" t="s">
        <v>16</v>
      </c>
      <c r="I282" s="3" t="s">
        <v>17</v>
      </c>
      <c r="J282" s="3" t="s">
        <v>18</v>
      </c>
      <c r="K282" t="s">
        <v>19</v>
      </c>
      <c r="L282" s="6" t="s">
        <v>695</v>
      </c>
      <c r="M282" s="14" t="s">
        <v>1008</v>
      </c>
      <c r="N282" s="6" t="s">
        <v>657</v>
      </c>
      <c r="O282" s="6">
        <v>0</v>
      </c>
      <c r="P282" s="6" t="s">
        <v>763</v>
      </c>
      <c r="Q282" s="35">
        <v>0</v>
      </c>
      <c r="R282" s="35">
        <v>0</v>
      </c>
      <c r="S282" s="35">
        <v>1</v>
      </c>
      <c r="T282" s="35">
        <v>0</v>
      </c>
      <c r="U282" s="35">
        <v>0</v>
      </c>
      <c r="V282" s="35">
        <v>0</v>
      </c>
      <c r="W282" s="35">
        <v>0</v>
      </c>
      <c r="X282" s="6" t="s">
        <v>801</v>
      </c>
      <c r="Y282" s="6">
        <v>1</v>
      </c>
      <c r="Z282" s="6">
        <v>0</v>
      </c>
      <c r="AA282" s="6">
        <v>0</v>
      </c>
      <c r="AB282" s="6">
        <v>1</v>
      </c>
      <c r="AC282" s="6">
        <v>0</v>
      </c>
      <c r="AD282" s="14" t="s">
        <v>21</v>
      </c>
      <c r="AE282" s="13" t="s">
        <v>560</v>
      </c>
      <c r="AF282" s="13" t="s">
        <v>1216</v>
      </c>
      <c r="AG282" s="8" t="s">
        <v>1357</v>
      </c>
      <c r="AH282" s="11">
        <v>40374</v>
      </c>
      <c r="AI282" s="10">
        <v>510</v>
      </c>
      <c r="AJ282" s="12">
        <v>72</v>
      </c>
      <c r="AK282" s="12">
        <f t="shared" si="19"/>
        <v>14.117647058823529</v>
      </c>
      <c r="AL282" s="12" t="str">
        <f t="shared" si="22"/>
        <v>10% a 25%</v>
      </c>
      <c r="AM282" s="6" t="s">
        <v>1259</v>
      </c>
      <c r="AN282" s="6" t="s">
        <v>1454</v>
      </c>
      <c r="AO282" s="6" t="s">
        <v>699</v>
      </c>
      <c r="AP282" s="6">
        <v>0</v>
      </c>
      <c r="AQ282" s="6" t="s">
        <v>1260</v>
      </c>
      <c r="AR282" s="6" t="s">
        <v>1399</v>
      </c>
      <c r="AS282" s="6">
        <v>0</v>
      </c>
      <c r="AT282" s="6">
        <v>1</v>
      </c>
      <c r="AU282" s="6">
        <v>0</v>
      </c>
      <c r="AV282" s="6">
        <v>0</v>
      </c>
      <c r="AW282" s="6" t="s">
        <v>664</v>
      </c>
      <c r="AX282" s="31">
        <v>0</v>
      </c>
      <c r="AY282" s="31">
        <v>8</v>
      </c>
      <c r="AZ282" s="31">
        <v>0</v>
      </c>
      <c r="BA282" s="12">
        <f t="shared" si="20"/>
        <v>8</v>
      </c>
      <c r="BB282" s="31">
        <v>6</v>
      </c>
      <c r="BC282" s="31">
        <v>0</v>
      </c>
      <c r="BD282" s="31">
        <v>0</v>
      </c>
      <c r="BE282" s="31">
        <v>0</v>
      </c>
      <c r="BF282" s="12">
        <f t="shared" si="21"/>
        <v>0</v>
      </c>
      <c r="BG282" s="6" t="s">
        <v>615</v>
      </c>
      <c r="BH282" s="6" t="s">
        <v>1393</v>
      </c>
      <c r="BI282" s="6">
        <v>0</v>
      </c>
      <c r="BJ282" s="6" t="s">
        <v>617</v>
      </c>
      <c r="BK282" s="6">
        <v>0</v>
      </c>
      <c r="BL282" s="6">
        <v>1</v>
      </c>
      <c r="BM282" s="6">
        <v>1</v>
      </c>
      <c r="BN282" s="6">
        <v>0</v>
      </c>
      <c r="BO282" s="6" t="s">
        <v>1112</v>
      </c>
      <c r="BP282" s="6" t="s">
        <v>1461</v>
      </c>
      <c r="BQ282" s="6" t="s">
        <v>1459</v>
      </c>
      <c r="BR282" s="6" t="s">
        <v>1461</v>
      </c>
    </row>
    <row r="283" spans="1:70" ht="52.8" customHeight="1" x14ac:dyDescent="0.3">
      <c r="A283" s="6">
        <v>316990</v>
      </c>
      <c r="B283" s="6" t="s">
        <v>24</v>
      </c>
      <c r="C283" s="15" t="s">
        <v>561</v>
      </c>
      <c r="D283" s="6" t="s">
        <v>33</v>
      </c>
      <c r="E283" s="6" t="s">
        <v>15</v>
      </c>
      <c r="F283" s="7">
        <v>42060</v>
      </c>
      <c r="G283" s="7">
        <v>42583</v>
      </c>
      <c r="H283" s="8" t="s">
        <v>94</v>
      </c>
      <c r="I283" s="3" t="s">
        <v>48</v>
      </c>
      <c r="J283" s="3" t="s">
        <v>18</v>
      </c>
      <c r="K283" t="s">
        <v>19</v>
      </c>
      <c r="L283" s="6" t="s">
        <v>695</v>
      </c>
      <c r="M283" s="14" t="s">
        <v>848</v>
      </c>
      <c r="N283" s="6" t="s">
        <v>657</v>
      </c>
      <c r="O283" s="6">
        <v>0</v>
      </c>
      <c r="P283" s="6" t="s">
        <v>1048</v>
      </c>
      <c r="Q283" s="35">
        <v>0</v>
      </c>
      <c r="R283" s="35">
        <v>0</v>
      </c>
      <c r="S283" s="35">
        <v>1</v>
      </c>
      <c r="T283" s="35">
        <v>1</v>
      </c>
      <c r="U283" s="35">
        <v>0</v>
      </c>
      <c r="V283" s="35">
        <v>0</v>
      </c>
      <c r="W283" s="35">
        <v>0</v>
      </c>
      <c r="X283" s="6" t="s">
        <v>860</v>
      </c>
      <c r="Y283" s="6">
        <v>1</v>
      </c>
      <c r="Z283" s="6">
        <v>1</v>
      </c>
      <c r="AA283" s="6">
        <v>1</v>
      </c>
      <c r="AB283" s="6">
        <v>1</v>
      </c>
      <c r="AC283" s="6">
        <v>1</v>
      </c>
      <c r="AD283" s="14" t="s">
        <v>21</v>
      </c>
      <c r="AE283" s="13" t="s">
        <v>562</v>
      </c>
      <c r="AF283" s="13" t="s">
        <v>36</v>
      </c>
      <c r="AG283" s="8" t="s">
        <v>1357</v>
      </c>
      <c r="AH283" s="11">
        <v>41570</v>
      </c>
      <c r="AI283" s="10">
        <v>678</v>
      </c>
      <c r="AJ283" s="12">
        <v>87.15</v>
      </c>
      <c r="AK283" s="12">
        <f t="shared" si="19"/>
        <v>12.853982300884956</v>
      </c>
      <c r="AL283" s="12" t="str">
        <f t="shared" si="22"/>
        <v>10% a 25%</v>
      </c>
      <c r="AM283" s="6" t="s">
        <v>912</v>
      </c>
      <c r="AN283" s="6" t="s">
        <v>1454</v>
      </c>
      <c r="AO283" s="6" t="s">
        <v>699</v>
      </c>
      <c r="AP283" s="6">
        <v>0</v>
      </c>
      <c r="AQ283" s="6" t="s">
        <v>913</v>
      </c>
      <c r="AR283" s="6" t="s">
        <v>1400</v>
      </c>
      <c r="AS283" s="6">
        <v>0</v>
      </c>
      <c r="AT283" s="6">
        <v>0</v>
      </c>
      <c r="AU283" s="6">
        <v>0</v>
      </c>
      <c r="AV283" s="6">
        <v>0</v>
      </c>
      <c r="AW283" s="6" t="s">
        <v>915</v>
      </c>
      <c r="AX283" s="31">
        <v>1</v>
      </c>
      <c r="AY283" s="31">
        <v>6</v>
      </c>
      <c r="AZ283" s="31">
        <v>0</v>
      </c>
      <c r="BA283" s="12">
        <f t="shared" si="20"/>
        <v>18.166666666666668</v>
      </c>
      <c r="BB283" s="31">
        <v>24</v>
      </c>
      <c r="BC283" s="31">
        <v>0</v>
      </c>
      <c r="BD283" s="31">
        <v>0</v>
      </c>
      <c r="BE283" s="31">
        <v>0</v>
      </c>
      <c r="BF283" s="12">
        <f t="shared" si="21"/>
        <v>0</v>
      </c>
      <c r="BG283" s="6" t="s">
        <v>615</v>
      </c>
      <c r="BH283" s="6" t="s">
        <v>1393</v>
      </c>
      <c r="BI283" s="6">
        <v>0</v>
      </c>
      <c r="BJ283" s="6" t="s">
        <v>609</v>
      </c>
      <c r="BK283" s="6">
        <v>0</v>
      </c>
      <c r="BL283" s="6">
        <v>1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</row>
    <row r="284" spans="1:70" ht="52.8" customHeight="1" x14ac:dyDescent="0.3">
      <c r="A284" s="6">
        <v>633080</v>
      </c>
      <c r="B284" s="6" t="s">
        <v>46</v>
      </c>
      <c r="C284" s="15" t="s">
        <v>563</v>
      </c>
      <c r="D284" s="6" t="s">
        <v>47</v>
      </c>
      <c r="E284" s="6" t="s">
        <v>15</v>
      </c>
      <c r="F284" s="7">
        <v>41992</v>
      </c>
      <c r="G284" s="7">
        <v>42053</v>
      </c>
      <c r="H284" s="8" t="s">
        <v>94</v>
      </c>
      <c r="I284" s="3" t="s">
        <v>17</v>
      </c>
      <c r="J284" s="3" t="s">
        <v>18</v>
      </c>
      <c r="K284" t="s">
        <v>19</v>
      </c>
      <c r="L284" s="6" t="s">
        <v>695</v>
      </c>
      <c r="M284" s="14" t="s">
        <v>626</v>
      </c>
      <c r="N284" s="6" t="s">
        <v>657</v>
      </c>
      <c r="O284" s="6">
        <v>0</v>
      </c>
      <c r="P284" s="6" t="s">
        <v>843</v>
      </c>
      <c r="Q284" s="35">
        <v>1</v>
      </c>
      <c r="R284" s="35">
        <v>0</v>
      </c>
      <c r="S284" s="35">
        <v>1</v>
      </c>
      <c r="T284" s="35">
        <v>0</v>
      </c>
      <c r="U284" s="35">
        <v>0</v>
      </c>
      <c r="V284" s="35">
        <v>0</v>
      </c>
      <c r="W284" s="35">
        <v>0</v>
      </c>
      <c r="X284" s="6" t="s">
        <v>801</v>
      </c>
      <c r="Y284" s="6">
        <v>1</v>
      </c>
      <c r="Z284" s="6">
        <v>0</v>
      </c>
      <c r="AA284" s="6">
        <v>0</v>
      </c>
      <c r="AB284" s="6">
        <v>1</v>
      </c>
      <c r="AC284" s="6">
        <v>0</v>
      </c>
      <c r="AD284" s="14" t="s">
        <v>21</v>
      </c>
      <c r="AE284" s="13" t="s">
        <v>564</v>
      </c>
      <c r="AF284" s="13" t="s">
        <v>92</v>
      </c>
      <c r="AG284" s="8" t="s">
        <v>1357</v>
      </c>
      <c r="AH284" s="11">
        <v>41282</v>
      </c>
      <c r="AI284" s="10">
        <v>678</v>
      </c>
      <c r="AJ284" s="12">
        <v>80</v>
      </c>
      <c r="AK284" s="12">
        <f t="shared" si="19"/>
        <v>11.799410029498524</v>
      </c>
      <c r="AL284" s="12" t="str">
        <f t="shared" si="22"/>
        <v>10% a 25%</v>
      </c>
      <c r="AM284" s="6" t="s">
        <v>1261</v>
      </c>
      <c r="AN284" s="6" t="s">
        <v>1454</v>
      </c>
      <c r="AO284" s="6" t="s">
        <v>699</v>
      </c>
      <c r="AP284" s="6">
        <v>0</v>
      </c>
      <c r="AQ284" s="6" t="s">
        <v>613</v>
      </c>
      <c r="AR284" s="6" t="s">
        <v>1399</v>
      </c>
      <c r="AS284" s="6">
        <v>1</v>
      </c>
      <c r="AT284" s="6">
        <v>0</v>
      </c>
      <c r="AU284" s="6">
        <v>0</v>
      </c>
      <c r="AV284" s="6">
        <v>0</v>
      </c>
      <c r="AW284" s="6" t="s">
        <v>686</v>
      </c>
      <c r="AX284" s="31">
        <v>1</v>
      </c>
      <c r="AY284" s="31">
        <v>0</v>
      </c>
      <c r="AZ284" s="31">
        <v>0</v>
      </c>
      <c r="BA284" s="12">
        <f t="shared" si="20"/>
        <v>12.166666666666666</v>
      </c>
      <c r="BB284" s="31">
        <v>10</v>
      </c>
      <c r="BC284" s="31">
        <v>0</v>
      </c>
      <c r="BD284" s="31">
        <v>0</v>
      </c>
      <c r="BE284" s="31">
        <v>0</v>
      </c>
      <c r="BF284" s="12">
        <f t="shared" si="21"/>
        <v>0</v>
      </c>
      <c r="BG284" s="6" t="s">
        <v>853</v>
      </c>
      <c r="BH284" s="6" t="s">
        <v>1394</v>
      </c>
      <c r="BI284" s="6">
        <v>1</v>
      </c>
      <c r="BJ284" s="6" t="s">
        <v>609</v>
      </c>
      <c r="BK284" s="6">
        <v>0</v>
      </c>
      <c r="BL284" s="6">
        <v>0</v>
      </c>
      <c r="BM284" s="6">
        <v>0</v>
      </c>
      <c r="BN284" s="6">
        <v>1</v>
      </c>
      <c r="BO284" s="6">
        <v>0</v>
      </c>
      <c r="BP284" s="6">
        <v>0</v>
      </c>
      <c r="BQ284" s="6">
        <v>0</v>
      </c>
      <c r="BR284" s="6">
        <v>0</v>
      </c>
    </row>
    <row r="285" spans="1:70" ht="52.8" customHeight="1" x14ac:dyDescent="0.3">
      <c r="A285" s="6">
        <v>338409</v>
      </c>
      <c r="B285" s="6" t="s">
        <v>24</v>
      </c>
      <c r="C285" s="15" t="s">
        <v>565</v>
      </c>
      <c r="D285" s="6" t="s">
        <v>14</v>
      </c>
      <c r="E285" s="6" t="s">
        <v>15</v>
      </c>
      <c r="F285" s="7">
        <v>42283</v>
      </c>
      <c r="G285" s="7">
        <v>42318</v>
      </c>
      <c r="H285" s="8" t="s">
        <v>57</v>
      </c>
      <c r="I285" s="3" t="s">
        <v>48</v>
      </c>
      <c r="J285" s="3" t="s">
        <v>18</v>
      </c>
      <c r="K285" t="s">
        <v>19</v>
      </c>
      <c r="L285" s="6" t="s">
        <v>696</v>
      </c>
      <c r="M285" s="14" t="s">
        <v>35</v>
      </c>
      <c r="N285" s="6" t="s">
        <v>657</v>
      </c>
      <c r="O285" s="6">
        <v>0</v>
      </c>
      <c r="P285" s="6" t="s">
        <v>1048</v>
      </c>
      <c r="Q285" s="35">
        <v>0</v>
      </c>
      <c r="R285" s="35">
        <v>0</v>
      </c>
      <c r="S285" s="35">
        <v>1</v>
      </c>
      <c r="T285" s="35">
        <v>1</v>
      </c>
      <c r="U285" s="35">
        <v>0</v>
      </c>
      <c r="V285" s="35">
        <v>0</v>
      </c>
      <c r="W285" s="35">
        <v>0</v>
      </c>
      <c r="X285" s="6" t="s">
        <v>657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14" t="s">
        <v>43</v>
      </c>
      <c r="AE285" s="13" t="s">
        <v>566</v>
      </c>
      <c r="AF285" s="13" t="s">
        <v>23</v>
      </c>
      <c r="AG285" s="8" t="s">
        <v>1357</v>
      </c>
      <c r="AH285" s="11">
        <v>41620</v>
      </c>
      <c r="AI285" s="10">
        <v>678</v>
      </c>
      <c r="AJ285" s="12">
        <v>17.7</v>
      </c>
      <c r="AK285" s="12">
        <f t="shared" si="19"/>
        <v>2.6106194690265485</v>
      </c>
      <c r="AL285" s="12" t="str">
        <f t="shared" si="22"/>
        <v>Até 10%</v>
      </c>
      <c r="AM285" s="6" t="s">
        <v>1262</v>
      </c>
      <c r="AN285" s="6" t="s">
        <v>1454</v>
      </c>
      <c r="AO285" s="6" t="s">
        <v>699</v>
      </c>
      <c r="AP285" s="6">
        <v>0</v>
      </c>
      <c r="AQ285" s="6" t="s">
        <v>916</v>
      </c>
      <c r="AR285" s="6" t="s">
        <v>1400</v>
      </c>
      <c r="AS285" s="6">
        <v>0</v>
      </c>
      <c r="AT285" s="6">
        <v>0</v>
      </c>
      <c r="AU285" s="6">
        <v>0</v>
      </c>
      <c r="AV285" s="6">
        <v>0</v>
      </c>
      <c r="AW285" s="6" t="s">
        <v>1205</v>
      </c>
      <c r="AX285" s="31">
        <v>2</v>
      </c>
      <c r="AY285" s="31">
        <v>0</v>
      </c>
      <c r="AZ285" s="31">
        <v>26</v>
      </c>
      <c r="BA285" s="12">
        <f t="shared" si="20"/>
        <v>25.2</v>
      </c>
      <c r="BB285" s="31">
        <v>9</v>
      </c>
      <c r="BC285" s="31">
        <v>0</v>
      </c>
      <c r="BD285" s="31">
        <v>0</v>
      </c>
      <c r="BE285" s="31">
        <v>0</v>
      </c>
      <c r="BF285" s="12">
        <f t="shared" si="21"/>
        <v>0</v>
      </c>
      <c r="BG285" s="6" t="s">
        <v>611</v>
      </c>
      <c r="BH285" s="6" t="s">
        <v>1392</v>
      </c>
      <c r="BI285" s="6">
        <v>0</v>
      </c>
      <c r="BJ285" s="6" t="s">
        <v>609</v>
      </c>
      <c r="BK285" s="6">
        <v>1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</row>
    <row r="286" spans="1:70" ht="52.8" customHeight="1" x14ac:dyDescent="0.3">
      <c r="A286" s="6">
        <v>343805</v>
      </c>
      <c r="B286" s="6" t="s">
        <v>24</v>
      </c>
      <c r="C286" s="15" t="s">
        <v>567</v>
      </c>
      <c r="D286" s="6" t="s">
        <v>33</v>
      </c>
      <c r="E286" s="6" t="s">
        <v>15</v>
      </c>
      <c r="F286" s="7">
        <v>42339</v>
      </c>
      <c r="G286" s="7">
        <v>42446</v>
      </c>
      <c r="H286" s="8" t="s">
        <v>59</v>
      </c>
      <c r="I286" s="3" t="s">
        <v>17</v>
      </c>
      <c r="J286" s="3" t="s">
        <v>18</v>
      </c>
      <c r="K286" t="s">
        <v>19</v>
      </c>
      <c r="L286" s="6" t="s">
        <v>696</v>
      </c>
      <c r="M286" s="14" t="s">
        <v>1130</v>
      </c>
      <c r="N286" s="6" t="s">
        <v>703</v>
      </c>
      <c r="O286" s="6">
        <v>1</v>
      </c>
      <c r="P286" s="6" t="s">
        <v>1256</v>
      </c>
      <c r="Q286" s="35">
        <v>1</v>
      </c>
      <c r="R286" s="35">
        <v>0</v>
      </c>
      <c r="S286" s="35">
        <v>0</v>
      </c>
      <c r="T286" s="35">
        <v>0</v>
      </c>
      <c r="U286" s="35">
        <v>0</v>
      </c>
      <c r="V286" s="35">
        <v>1</v>
      </c>
      <c r="W286" s="35">
        <v>0</v>
      </c>
      <c r="X286" s="6" t="s">
        <v>971</v>
      </c>
      <c r="Y286" s="6">
        <v>1</v>
      </c>
      <c r="Z286" s="6">
        <v>0</v>
      </c>
      <c r="AA286" s="6">
        <v>0</v>
      </c>
      <c r="AB286" s="6">
        <v>0</v>
      </c>
      <c r="AC286" s="6">
        <v>1</v>
      </c>
      <c r="AD286" s="14" t="s">
        <v>43</v>
      </c>
      <c r="AE286" s="13" t="s">
        <v>568</v>
      </c>
      <c r="AF286" s="13" t="s">
        <v>36</v>
      </c>
      <c r="AG286" s="8" t="s">
        <v>1357</v>
      </c>
      <c r="AH286" s="11">
        <v>41622</v>
      </c>
      <c r="AI286" s="10">
        <v>678</v>
      </c>
      <c r="AJ286" s="12">
        <v>16.899999999999999</v>
      </c>
      <c r="AK286" s="12">
        <f t="shared" si="19"/>
        <v>2.4926253687315629</v>
      </c>
      <c r="AL286" s="12" t="str">
        <f t="shared" si="22"/>
        <v>Até 10%</v>
      </c>
      <c r="AM286" s="6" t="s">
        <v>1263</v>
      </c>
      <c r="AN286" s="6" t="s">
        <v>1454</v>
      </c>
      <c r="AO286" s="6" t="s">
        <v>701</v>
      </c>
      <c r="AP286" s="6">
        <v>1</v>
      </c>
      <c r="AQ286" s="6" t="s">
        <v>658</v>
      </c>
      <c r="AR286" s="6" t="s">
        <v>1399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31">
        <v>0</v>
      </c>
      <c r="AY286" s="31">
        <v>0</v>
      </c>
      <c r="AZ286" s="31">
        <v>0</v>
      </c>
      <c r="BA286" s="12">
        <f t="shared" si="20"/>
        <v>0</v>
      </c>
      <c r="BB286" s="31">
        <v>0</v>
      </c>
      <c r="BC286" s="31">
        <v>0</v>
      </c>
      <c r="BD286" s="31">
        <v>0</v>
      </c>
      <c r="BE286" s="31">
        <v>0</v>
      </c>
      <c r="BF286" s="12">
        <f t="shared" si="21"/>
        <v>0</v>
      </c>
      <c r="BG286" s="6">
        <v>0</v>
      </c>
      <c r="BH286" s="6">
        <v>0</v>
      </c>
      <c r="BI286" s="6">
        <v>0</v>
      </c>
      <c r="BJ286" s="6" t="s">
        <v>620</v>
      </c>
      <c r="BK286" s="6">
        <v>1</v>
      </c>
      <c r="BL286" s="6">
        <v>0</v>
      </c>
      <c r="BM286" s="6">
        <v>0</v>
      </c>
      <c r="BN286" s="6">
        <v>0</v>
      </c>
      <c r="BO286" s="6" t="s">
        <v>1264</v>
      </c>
      <c r="BP286" s="6" t="s">
        <v>1459</v>
      </c>
      <c r="BQ286" s="6" t="s">
        <v>1460</v>
      </c>
      <c r="BR286" s="6" t="s">
        <v>1459</v>
      </c>
    </row>
    <row r="287" spans="1:70" ht="52.8" customHeight="1" x14ac:dyDescent="0.3">
      <c r="A287" s="6">
        <v>588082</v>
      </c>
      <c r="B287" s="6" t="s">
        <v>46</v>
      </c>
      <c r="C287" s="15" t="s">
        <v>569</v>
      </c>
      <c r="D287" s="6" t="s">
        <v>41</v>
      </c>
      <c r="E287" s="6" t="s">
        <v>15</v>
      </c>
      <c r="F287" s="7">
        <v>41912</v>
      </c>
      <c r="G287" s="7">
        <v>42242</v>
      </c>
      <c r="H287" s="8" t="s">
        <v>157</v>
      </c>
      <c r="I287" s="3" t="s">
        <v>17</v>
      </c>
      <c r="J287" s="3" t="s">
        <v>18</v>
      </c>
      <c r="K287" t="s">
        <v>19</v>
      </c>
      <c r="L287" s="6" t="s">
        <v>696</v>
      </c>
      <c r="M287" s="14" t="s">
        <v>20</v>
      </c>
      <c r="N287" s="6" t="s">
        <v>657</v>
      </c>
      <c r="O287" s="6">
        <v>0</v>
      </c>
      <c r="P287" s="6" t="s">
        <v>1215</v>
      </c>
      <c r="Q287" s="35">
        <v>1</v>
      </c>
      <c r="R287" s="35">
        <v>0</v>
      </c>
      <c r="S287" s="35">
        <v>0</v>
      </c>
      <c r="T287" s="35">
        <v>1</v>
      </c>
      <c r="U287" s="35">
        <v>0</v>
      </c>
      <c r="V287" s="35">
        <v>0</v>
      </c>
      <c r="W287" s="35">
        <v>0</v>
      </c>
      <c r="X287" s="6" t="s">
        <v>801</v>
      </c>
      <c r="Y287" s="6">
        <v>1</v>
      </c>
      <c r="Z287" s="6">
        <v>0</v>
      </c>
      <c r="AA287" s="6">
        <v>0</v>
      </c>
      <c r="AB287" s="6">
        <v>1</v>
      </c>
      <c r="AC287" s="6">
        <v>0</v>
      </c>
      <c r="AD287" s="14" t="s">
        <v>21</v>
      </c>
      <c r="AE287" s="13" t="s">
        <v>570</v>
      </c>
      <c r="AF287" s="13" t="s">
        <v>45</v>
      </c>
      <c r="AG287" s="8" t="s">
        <v>1357</v>
      </c>
      <c r="AH287" s="11">
        <v>40259</v>
      </c>
      <c r="AI287" s="10">
        <v>510</v>
      </c>
      <c r="AJ287" s="12">
        <v>220</v>
      </c>
      <c r="AK287" s="12">
        <f t="shared" si="19"/>
        <v>43.137254901960787</v>
      </c>
      <c r="AL287" s="12" t="str">
        <f t="shared" si="22"/>
        <v>25% a 50%</v>
      </c>
      <c r="AM287" s="6" t="s">
        <v>1265</v>
      </c>
      <c r="AN287" s="6" t="s">
        <v>1452</v>
      </c>
      <c r="AO287" s="6" t="s">
        <v>610</v>
      </c>
      <c r="AP287" s="6">
        <v>1</v>
      </c>
      <c r="AQ287" s="6" t="s">
        <v>613</v>
      </c>
      <c r="AR287" s="6" t="s">
        <v>1399</v>
      </c>
      <c r="AS287" s="6">
        <v>1</v>
      </c>
      <c r="AT287" s="6">
        <v>0</v>
      </c>
      <c r="AU287" s="6">
        <v>0</v>
      </c>
      <c r="AV287" s="6">
        <v>0</v>
      </c>
      <c r="AW287" s="6">
        <v>0</v>
      </c>
      <c r="AX287" s="31">
        <v>0</v>
      </c>
      <c r="AY287" s="31">
        <v>0</v>
      </c>
      <c r="AZ287" s="31">
        <v>0</v>
      </c>
      <c r="BA287" s="12">
        <f t="shared" si="20"/>
        <v>0</v>
      </c>
      <c r="BB287" s="31">
        <v>0</v>
      </c>
      <c r="BC287" s="31">
        <v>0</v>
      </c>
      <c r="BD287" s="31">
        <v>0</v>
      </c>
      <c r="BE287" s="31">
        <v>0</v>
      </c>
      <c r="BF287" s="12">
        <f t="shared" si="21"/>
        <v>0</v>
      </c>
      <c r="BG287" s="6">
        <v>0</v>
      </c>
      <c r="BH287" s="6">
        <v>0</v>
      </c>
      <c r="BI287" s="6">
        <v>0</v>
      </c>
      <c r="BJ287" s="6" t="s">
        <v>620</v>
      </c>
      <c r="BK287" s="6">
        <v>0</v>
      </c>
      <c r="BL287" s="6">
        <v>0</v>
      </c>
      <c r="BM287" s="6">
        <v>0</v>
      </c>
      <c r="BN287" s="6">
        <v>0</v>
      </c>
      <c r="BO287" s="6" t="s">
        <v>1234</v>
      </c>
      <c r="BP287" s="6" t="s">
        <v>1459</v>
      </c>
      <c r="BQ287" s="6" t="s">
        <v>1460</v>
      </c>
      <c r="BR287" s="6" t="s">
        <v>1460</v>
      </c>
    </row>
    <row r="288" spans="1:70" ht="52.8" customHeight="1" x14ac:dyDescent="0.3">
      <c r="A288" s="6">
        <v>326785</v>
      </c>
      <c r="B288" s="6" t="s">
        <v>24</v>
      </c>
      <c r="C288" s="15" t="s">
        <v>571</v>
      </c>
      <c r="D288" s="6" t="s">
        <v>64</v>
      </c>
      <c r="E288" s="6" t="s">
        <v>15</v>
      </c>
      <c r="F288" s="7">
        <v>42167</v>
      </c>
      <c r="G288" s="7">
        <v>42279</v>
      </c>
      <c r="H288" s="8" t="s">
        <v>59</v>
      </c>
      <c r="I288" s="3" t="s">
        <v>17</v>
      </c>
      <c r="J288" s="3" t="s">
        <v>18</v>
      </c>
      <c r="K288" t="s">
        <v>19</v>
      </c>
      <c r="L288" s="6" t="s">
        <v>696</v>
      </c>
      <c r="M288" s="14" t="s">
        <v>35</v>
      </c>
      <c r="N288" s="6" t="s">
        <v>657</v>
      </c>
      <c r="O288" s="6">
        <v>0</v>
      </c>
      <c r="P288" s="6" t="s">
        <v>763</v>
      </c>
      <c r="Q288" s="35">
        <v>0</v>
      </c>
      <c r="R288" s="35">
        <v>0</v>
      </c>
      <c r="S288" s="35">
        <v>1</v>
      </c>
      <c r="T288" s="35">
        <v>0</v>
      </c>
      <c r="U288" s="35">
        <v>0</v>
      </c>
      <c r="V288" s="35">
        <v>0</v>
      </c>
      <c r="W288" s="35">
        <v>0</v>
      </c>
      <c r="X288" s="6" t="s">
        <v>657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14" t="s">
        <v>21</v>
      </c>
      <c r="AE288" s="13" t="s">
        <v>572</v>
      </c>
      <c r="AF288" s="13" t="s">
        <v>194</v>
      </c>
      <c r="AG288" s="8" t="s">
        <v>194</v>
      </c>
      <c r="AH288" s="11">
        <v>41447</v>
      </c>
      <c r="AI288" s="10">
        <v>678</v>
      </c>
      <c r="AJ288" s="12">
        <v>30</v>
      </c>
      <c r="AK288" s="12">
        <f t="shared" si="19"/>
        <v>4.4247787610619467</v>
      </c>
      <c r="AL288" s="12" t="str">
        <f t="shared" si="22"/>
        <v>Até 10%</v>
      </c>
      <c r="AM288" s="6" t="s">
        <v>1266</v>
      </c>
      <c r="AN288" s="6" t="s">
        <v>616</v>
      </c>
      <c r="AO288" s="6" t="s">
        <v>699</v>
      </c>
      <c r="AP288" s="6">
        <v>0</v>
      </c>
      <c r="AQ288" s="6" t="s">
        <v>658</v>
      </c>
      <c r="AR288" s="6" t="s">
        <v>1399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31">
        <v>0</v>
      </c>
      <c r="AY288" s="31">
        <v>0</v>
      </c>
      <c r="AZ288" s="31">
        <v>0</v>
      </c>
      <c r="BA288" s="12">
        <f t="shared" si="20"/>
        <v>0</v>
      </c>
      <c r="BB288" s="31">
        <v>0</v>
      </c>
      <c r="BC288" s="31">
        <v>0</v>
      </c>
      <c r="BD288" s="31">
        <v>0</v>
      </c>
      <c r="BE288" s="31">
        <v>0</v>
      </c>
      <c r="BF288" s="12">
        <f t="shared" si="21"/>
        <v>0</v>
      </c>
      <c r="BG288" s="6">
        <v>0</v>
      </c>
      <c r="BH288" s="6">
        <v>0</v>
      </c>
      <c r="BI288" s="6">
        <v>0</v>
      </c>
      <c r="BJ288" s="6" t="s">
        <v>620</v>
      </c>
      <c r="BK288" s="6">
        <v>0</v>
      </c>
      <c r="BL288" s="6">
        <v>0</v>
      </c>
      <c r="BM288" s="6">
        <v>1</v>
      </c>
      <c r="BN288" s="6">
        <v>0</v>
      </c>
      <c r="BO288" s="6" t="s">
        <v>1234</v>
      </c>
      <c r="BP288" s="6" t="s">
        <v>1459</v>
      </c>
      <c r="BQ288" s="6" t="s">
        <v>1460</v>
      </c>
      <c r="BR288" s="6" t="s">
        <v>1460</v>
      </c>
    </row>
    <row r="289" spans="1:70" ht="52.8" customHeight="1" x14ac:dyDescent="0.3">
      <c r="A289" s="6">
        <v>1527931</v>
      </c>
      <c r="B289" s="6" t="s">
        <v>26</v>
      </c>
      <c r="C289" s="15" t="s">
        <v>573</v>
      </c>
      <c r="D289" s="6" t="s">
        <v>64</v>
      </c>
      <c r="E289" s="6" t="s">
        <v>15</v>
      </c>
      <c r="F289" s="7">
        <v>42123</v>
      </c>
      <c r="G289" s="7">
        <v>43227</v>
      </c>
      <c r="H289" s="8" t="s">
        <v>34</v>
      </c>
      <c r="I289" s="3" t="s">
        <v>48</v>
      </c>
      <c r="J289" s="3" t="s">
        <v>18</v>
      </c>
      <c r="K289" t="s">
        <v>19</v>
      </c>
      <c r="L289" s="6" t="s">
        <v>696</v>
      </c>
      <c r="M289" s="14" t="s">
        <v>626</v>
      </c>
      <c r="N289" s="6" t="s">
        <v>657</v>
      </c>
      <c r="O289" s="6">
        <v>0</v>
      </c>
      <c r="P289" s="6" t="s">
        <v>1267</v>
      </c>
      <c r="Q289" s="35">
        <v>0</v>
      </c>
      <c r="R289" s="35">
        <v>1</v>
      </c>
      <c r="S289" s="35">
        <v>0</v>
      </c>
      <c r="T289" s="35">
        <v>1</v>
      </c>
      <c r="U289" s="35">
        <v>0</v>
      </c>
      <c r="V289" s="35">
        <v>0</v>
      </c>
      <c r="W289" s="35">
        <v>0</v>
      </c>
      <c r="X289" s="6" t="s">
        <v>657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14" t="s">
        <v>21</v>
      </c>
      <c r="AE289" s="13" t="s">
        <v>574</v>
      </c>
      <c r="AF289" s="13" t="s">
        <v>66</v>
      </c>
      <c r="AG289" s="8" t="s">
        <v>1357</v>
      </c>
      <c r="AH289" s="11">
        <v>41022</v>
      </c>
      <c r="AI289" s="10">
        <v>622</v>
      </c>
      <c r="AJ289" s="12">
        <v>10</v>
      </c>
      <c r="AK289" s="12">
        <f t="shared" si="19"/>
        <v>1.607717041800643</v>
      </c>
      <c r="AL289" s="12" t="str">
        <f t="shared" si="22"/>
        <v>Até 10%</v>
      </c>
      <c r="AM289" s="6" t="s">
        <v>737</v>
      </c>
      <c r="AN289" s="6" t="s">
        <v>1454</v>
      </c>
      <c r="AO289" s="6" t="s">
        <v>699</v>
      </c>
      <c r="AP289" s="6">
        <v>0</v>
      </c>
      <c r="AQ289" s="6" t="s">
        <v>667</v>
      </c>
      <c r="AR289" s="6" t="s">
        <v>1400</v>
      </c>
      <c r="AS289" s="6">
        <v>0</v>
      </c>
      <c r="AT289" s="6">
        <v>0</v>
      </c>
      <c r="AU289" s="6">
        <v>0</v>
      </c>
      <c r="AV289" s="6">
        <v>0</v>
      </c>
      <c r="AW289" s="6" t="s">
        <v>862</v>
      </c>
      <c r="AX289" s="31">
        <v>0</v>
      </c>
      <c r="AY289" s="31">
        <v>8</v>
      </c>
      <c r="AZ289" s="31">
        <v>0</v>
      </c>
      <c r="BA289" s="12">
        <f t="shared" si="20"/>
        <v>8</v>
      </c>
      <c r="BB289" s="31">
        <v>3</v>
      </c>
      <c r="BC289" s="31">
        <v>0</v>
      </c>
      <c r="BD289" s="31">
        <v>0</v>
      </c>
      <c r="BE289" s="31">
        <v>0</v>
      </c>
      <c r="BF289" s="12">
        <f t="shared" si="21"/>
        <v>0</v>
      </c>
      <c r="BG289" s="6" t="s">
        <v>637</v>
      </c>
      <c r="BH289" s="6" t="s">
        <v>1394</v>
      </c>
      <c r="BI289" s="6">
        <v>0</v>
      </c>
      <c r="BJ289" s="6" t="s">
        <v>609</v>
      </c>
      <c r="BK289" s="6">
        <v>0</v>
      </c>
      <c r="BL289" s="6">
        <v>1</v>
      </c>
      <c r="BM289" s="6">
        <v>1</v>
      </c>
      <c r="BN289" s="6">
        <v>0</v>
      </c>
      <c r="BO289" s="6" t="s">
        <v>1268</v>
      </c>
      <c r="BP289" s="6" t="s">
        <v>1459</v>
      </c>
      <c r="BQ289" s="6" t="s">
        <v>1461</v>
      </c>
      <c r="BR289" s="6" t="s">
        <v>1461</v>
      </c>
    </row>
    <row r="290" spans="1:70" ht="52.8" customHeight="1" x14ac:dyDescent="0.3">
      <c r="A290" s="6">
        <v>311348</v>
      </c>
      <c r="B290" s="6" t="s">
        <v>24</v>
      </c>
      <c r="C290" s="15" t="s">
        <v>575</v>
      </c>
      <c r="D290" s="6" t="s">
        <v>41</v>
      </c>
      <c r="E290" s="6" t="s">
        <v>15</v>
      </c>
      <c r="F290" s="7">
        <v>41977</v>
      </c>
      <c r="G290" s="7">
        <v>42108</v>
      </c>
      <c r="H290" s="8" t="s">
        <v>71</v>
      </c>
      <c r="I290" s="3" t="s">
        <v>48</v>
      </c>
      <c r="J290" s="3" t="s">
        <v>18</v>
      </c>
      <c r="K290" t="s">
        <v>19</v>
      </c>
      <c r="L290" s="6" t="s">
        <v>695</v>
      </c>
      <c r="M290" s="14" t="s">
        <v>35</v>
      </c>
      <c r="N290" s="6" t="s">
        <v>657</v>
      </c>
      <c r="O290" s="6">
        <v>0</v>
      </c>
      <c r="P290" s="6" t="s">
        <v>1064</v>
      </c>
      <c r="Q290" s="35">
        <v>0</v>
      </c>
      <c r="R290" s="35">
        <v>0</v>
      </c>
      <c r="S290" s="35">
        <v>1</v>
      </c>
      <c r="T290" s="35">
        <v>1</v>
      </c>
      <c r="U290" s="35">
        <v>0</v>
      </c>
      <c r="V290" s="35">
        <v>0</v>
      </c>
      <c r="W290" s="35">
        <v>0</v>
      </c>
      <c r="X290" s="6" t="s">
        <v>801</v>
      </c>
      <c r="Y290" s="6">
        <v>1</v>
      </c>
      <c r="Z290" s="6">
        <v>0</v>
      </c>
      <c r="AA290" s="6">
        <v>0</v>
      </c>
      <c r="AB290" s="6">
        <v>1</v>
      </c>
      <c r="AC290" s="6">
        <v>0</v>
      </c>
      <c r="AD290" s="14" t="s">
        <v>43</v>
      </c>
      <c r="AE290" s="13" t="s">
        <v>576</v>
      </c>
      <c r="AF290" s="13" t="s">
        <v>45</v>
      </c>
      <c r="AG290" s="8" t="s">
        <v>1357</v>
      </c>
      <c r="AH290" s="11">
        <v>41531</v>
      </c>
      <c r="AI290" s="10">
        <v>678</v>
      </c>
      <c r="AJ290" s="12">
        <v>160</v>
      </c>
      <c r="AK290" s="12">
        <f t="shared" si="19"/>
        <v>23.598820058997049</v>
      </c>
      <c r="AL290" s="12" t="str">
        <f t="shared" si="22"/>
        <v>10% a 25%</v>
      </c>
      <c r="AM290" s="6" t="s">
        <v>1269</v>
      </c>
      <c r="AN290" s="6" t="s">
        <v>1454</v>
      </c>
      <c r="AO290" s="6" t="s">
        <v>701</v>
      </c>
      <c r="AP290" s="6">
        <v>1</v>
      </c>
      <c r="AQ290" s="6" t="s">
        <v>625</v>
      </c>
      <c r="AR290" s="6" t="s">
        <v>1400</v>
      </c>
      <c r="AS290" s="6">
        <v>1</v>
      </c>
      <c r="AT290" s="6">
        <v>0</v>
      </c>
      <c r="AU290" s="6">
        <v>0</v>
      </c>
      <c r="AV290" s="6">
        <v>0</v>
      </c>
      <c r="AW290" s="6">
        <v>0</v>
      </c>
      <c r="AX290" s="31">
        <v>0</v>
      </c>
      <c r="AY290" s="31">
        <v>0</v>
      </c>
      <c r="AZ290" s="31">
        <v>0</v>
      </c>
      <c r="BA290" s="12">
        <f t="shared" si="20"/>
        <v>0</v>
      </c>
      <c r="BB290" s="31">
        <v>0</v>
      </c>
      <c r="BC290" s="31">
        <v>0</v>
      </c>
      <c r="BD290" s="31">
        <v>0</v>
      </c>
      <c r="BE290" s="31">
        <v>0</v>
      </c>
      <c r="BF290" s="12">
        <f t="shared" si="21"/>
        <v>0</v>
      </c>
      <c r="BG290" s="6">
        <v>0</v>
      </c>
      <c r="BH290" s="6">
        <v>0</v>
      </c>
      <c r="BI290" s="6">
        <v>0</v>
      </c>
      <c r="BJ290" s="6" t="s">
        <v>620</v>
      </c>
      <c r="BK290" s="6">
        <v>0</v>
      </c>
      <c r="BL290" s="6">
        <v>1</v>
      </c>
      <c r="BM290" s="6">
        <v>0</v>
      </c>
      <c r="BN290" s="6">
        <v>1</v>
      </c>
      <c r="BO290" s="6" t="s">
        <v>1245</v>
      </c>
      <c r="BP290" s="6" t="s">
        <v>1459</v>
      </c>
      <c r="BQ290" s="6" t="s">
        <v>1460</v>
      </c>
      <c r="BR290" s="6" t="s">
        <v>1460</v>
      </c>
    </row>
    <row r="291" spans="1:70" ht="52.8" customHeight="1" x14ac:dyDescent="0.3">
      <c r="A291" s="6">
        <v>1529994</v>
      </c>
      <c r="B291" s="6" t="s">
        <v>26</v>
      </c>
      <c r="C291" s="15" t="s">
        <v>577</v>
      </c>
      <c r="D291" s="6" t="s">
        <v>14</v>
      </c>
      <c r="E291" s="6" t="s">
        <v>15</v>
      </c>
      <c r="F291" s="7">
        <v>42132</v>
      </c>
      <c r="G291" s="7">
        <v>42682</v>
      </c>
      <c r="H291" s="8" t="s">
        <v>42</v>
      </c>
      <c r="I291" s="3" t="s">
        <v>17</v>
      </c>
      <c r="J291" s="3" t="s">
        <v>18</v>
      </c>
      <c r="K291" t="s">
        <v>19</v>
      </c>
      <c r="L291" s="6" t="s">
        <v>696</v>
      </c>
      <c r="M291" s="14" t="s">
        <v>626</v>
      </c>
      <c r="N291" s="6" t="s">
        <v>657</v>
      </c>
      <c r="O291" s="6">
        <v>0</v>
      </c>
      <c r="P291" s="6" t="s">
        <v>843</v>
      </c>
      <c r="Q291" s="35">
        <v>1</v>
      </c>
      <c r="R291" s="35">
        <v>0</v>
      </c>
      <c r="S291" s="35">
        <v>1</v>
      </c>
      <c r="T291" s="35">
        <v>0</v>
      </c>
      <c r="U291" s="35">
        <v>0</v>
      </c>
      <c r="V291" s="35">
        <v>0</v>
      </c>
      <c r="W291" s="35">
        <v>0</v>
      </c>
      <c r="X291" s="6" t="s">
        <v>657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14" t="s">
        <v>21</v>
      </c>
      <c r="AE291" s="13" t="s">
        <v>578</v>
      </c>
      <c r="AF291" s="13" t="s">
        <v>23</v>
      </c>
      <c r="AG291" s="8" t="s">
        <v>1357</v>
      </c>
      <c r="AH291" s="11">
        <v>41129</v>
      </c>
      <c r="AI291" s="10">
        <v>622</v>
      </c>
      <c r="AJ291" s="12">
        <v>77.900000000000006</v>
      </c>
      <c r="AK291" s="12">
        <f t="shared" si="19"/>
        <v>12.52411575562701</v>
      </c>
      <c r="AL291" s="12" t="str">
        <f t="shared" si="22"/>
        <v>10% a 25%</v>
      </c>
      <c r="AM291" s="6" t="s">
        <v>1203</v>
      </c>
      <c r="AN291" s="6" t="s">
        <v>1453</v>
      </c>
      <c r="AO291" s="6" t="s">
        <v>699</v>
      </c>
      <c r="AP291" s="6">
        <v>0</v>
      </c>
      <c r="AQ291" s="6" t="s">
        <v>785</v>
      </c>
      <c r="AR291" s="6" t="s">
        <v>1401</v>
      </c>
      <c r="AS291" s="6">
        <v>1</v>
      </c>
      <c r="AT291" s="6">
        <v>0</v>
      </c>
      <c r="AU291" s="6">
        <v>0</v>
      </c>
      <c r="AV291" s="6">
        <v>0</v>
      </c>
      <c r="AW291" s="6" t="s">
        <v>818</v>
      </c>
      <c r="AX291" s="31">
        <v>0</v>
      </c>
      <c r="AY291" s="31">
        <v>4</v>
      </c>
      <c r="AZ291" s="31">
        <v>0</v>
      </c>
      <c r="BA291" s="12">
        <f t="shared" si="20"/>
        <v>4</v>
      </c>
      <c r="BB291" s="31">
        <v>3</v>
      </c>
      <c r="BC291" s="31">
        <v>0</v>
      </c>
      <c r="BD291" s="31">
        <v>0</v>
      </c>
      <c r="BE291" s="31">
        <v>0</v>
      </c>
      <c r="BF291" s="12">
        <f t="shared" si="21"/>
        <v>0</v>
      </c>
      <c r="BG291" s="6" t="s">
        <v>636</v>
      </c>
      <c r="BH291" s="6" t="s">
        <v>1394</v>
      </c>
      <c r="BI291" s="6">
        <v>1</v>
      </c>
      <c r="BJ291" s="6" t="s">
        <v>609</v>
      </c>
      <c r="BK291" s="6">
        <v>0</v>
      </c>
      <c r="BL291" s="6">
        <v>0</v>
      </c>
      <c r="BM291" s="6">
        <v>0</v>
      </c>
      <c r="BN291" s="6">
        <v>1</v>
      </c>
      <c r="BO291" s="6">
        <v>0</v>
      </c>
      <c r="BP291" s="6">
        <v>0</v>
      </c>
      <c r="BQ291" s="6">
        <v>0</v>
      </c>
      <c r="BR291" s="6">
        <v>0</v>
      </c>
    </row>
    <row r="292" spans="1:70" ht="52.8" customHeight="1" x14ac:dyDescent="0.3">
      <c r="A292" s="6">
        <v>702169</v>
      </c>
      <c r="B292" s="6" t="s">
        <v>46</v>
      </c>
      <c r="C292" s="15" t="s">
        <v>579</v>
      </c>
      <c r="D292" s="6" t="s">
        <v>64</v>
      </c>
      <c r="E292" s="6" t="s">
        <v>15</v>
      </c>
      <c r="F292" s="7">
        <v>42137</v>
      </c>
      <c r="G292" s="7">
        <v>42222</v>
      </c>
      <c r="H292" s="8" t="s">
        <v>157</v>
      </c>
      <c r="I292" s="3" t="s">
        <v>17</v>
      </c>
      <c r="J292" s="3" t="s">
        <v>18</v>
      </c>
      <c r="K292" t="s">
        <v>19</v>
      </c>
      <c r="L292" s="6" t="s">
        <v>696</v>
      </c>
      <c r="M292" s="14" t="s">
        <v>724</v>
      </c>
      <c r="N292" s="6" t="s">
        <v>657</v>
      </c>
      <c r="O292" s="6">
        <v>0</v>
      </c>
      <c r="P292" s="6" t="s">
        <v>1270</v>
      </c>
      <c r="Q292" s="35">
        <v>1</v>
      </c>
      <c r="R292" s="35">
        <v>0</v>
      </c>
      <c r="S292" s="35">
        <v>0</v>
      </c>
      <c r="T292" s="35">
        <v>0</v>
      </c>
      <c r="U292" s="35">
        <v>0</v>
      </c>
      <c r="V292" s="35">
        <v>0</v>
      </c>
      <c r="W292" s="35">
        <v>1</v>
      </c>
      <c r="X292" s="6" t="s">
        <v>1230</v>
      </c>
      <c r="Y292" s="6">
        <v>1</v>
      </c>
      <c r="Z292" s="6">
        <v>1</v>
      </c>
      <c r="AA292" s="6">
        <v>0</v>
      </c>
      <c r="AB292" s="6">
        <v>1</v>
      </c>
      <c r="AC292" s="6">
        <v>0</v>
      </c>
      <c r="AD292" s="14" t="s">
        <v>21</v>
      </c>
      <c r="AE292" s="13" t="s">
        <v>580</v>
      </c>
      <c r="AF292" s="13" t="s">
        <v>66</v>
      </c>
      <c r="AG292" s="8" t="s">
        <v>1357</v>
      </c>
      <c r="AH292" s="11">
        <v>41511</v>
      </c>
      <c r="AI292" s="10">
        <v>678</v>
      </c>
      <c r="AJ292" s="12">
        <v>166</v>
      </c>
      <c r="AK292" s="12">
        <f t="shared" si="19"/>
        <v>24.483775811209441</v>
      </c>
      <c r="AL292" s="12" t="str">
        <f t="shared" si="22"/>
        <v>10% a 25%</v>
      </c>
      <c r="AM292" s="6" t="s">
        <v>1271</v>
      </c>
      <c r="AN292" s="6" t="s">
        <v>655</v>
      </c>
      <c r="AO292" s="6" t="s">
        <v>699</v>
      </c>
      <c r="AP292" s="6">
        <v>0</v>
      </c>
      <c r="AQ292" s="6" t="s">
        <v>658</v>
      </c>
      <c r="AR292" s="6" t="s">
        <v>1399</v>
      </c>
      <c r="AS292" s="6">
        <v>0</v>
      </c>
      <c r="AT292" s="6">
        <v>0</v>
      </c>
      <c r="AU292" s="6">
        <v>0</v>
      </c>
      <c r="AV292" s="6">
        <v>0</v>
      </c>
      <c r="AW292" s="6" t="s">
        <v>664</v>
      </c>
      <c r="AX292" s="31">
        <v>0</v>
      </c>
      <c r="AY292" s="31">
        <v>8</v>
      </c>
      <c r="AZ292" s="31">
        <v>0</v>
      </c>
      <c r="BA292" s="12">
        <f t="shared" si="20"/>
        <v>8</v>
      </c>
      <c r="BB292" s="31">
        <v>6</v>
      </c>
      <c r="BC292" s="31">
        <v>0</v>
      </c>
      <c r="BD292" s="31">
        <v>0</v>
      </c>
      <c r="BE292" s="31">
        <v>0</v>
      </c>
      <c r="BF292" s="12">
        <f t="shared" si="21"/>
        <v>0</v>
      </c>
      <c r="BG292" s="6" t="s">
        <v>611</v>
      </c>
      <c r="BH292" s="6" t="s">
        <v>1392</v>
      </c>
      <c r="BI292" s="6">
        <v>0</v>
      </c>
      <c r="BJ292" s="6" t="s">
        <v>609</v>
      </c>
      <c r="BK292" s="6">
        <v>1</v>
      </c>
      <c r="BL292" s="6">
        <v>1</v>
      </c>
      <c r="BM292" s="6">
        <v>0</v>
      </c>
      <c r="BN292" s="6">
        <v>0</v>
      </c>
      <c r="BO292" s="6">
        <v>0</v>
      </c>
      <c r="BP292" s="6">
        <v>0</v>
      </c>
      <c r="BQ292" s="6">
        <v>0</v>
      </c>
      <c r="BR292" s="6">
        <v>0</v>
      </c>
    </row>
    <row r="293" spans="1:70" ht="52.8" customHeight="1" x14ac:dyDescent="0.3">
      <c r="A293" s="6">
        <v>693873</v>
      </c>
      <c r="B293" s="6" t="s">
        <v>13</v>
      </c>
      <c r="C293" s="15" t="s">
        <v>1272</v>
      </c>
      <c r="D293" s="6" t="s">
        <v>64</v>
      </c>
      <c r="E293" s="6" t="s">
        <v>15</v>
      </c>
      <c r="F293" s="7">
        <v>42128</v>
      </c>
      <c r="G293" s="7">
        <v>42234</v>
      </c>
      <c r="H293" s="8" t="s">
        <v>57</v>
      </c>
      <c r="I293" s="3" t="s">
        <v>48</v>
      </c>
      <c r="J293" s="3" t="s">
        <v>18</v>
      </c>
      <c r="K293" t="s">
        <v>19</v>
      </c>
      <c r="L293" s="6" t="s">
        <v>696</v>
      </c>
      <c r="M293" s="14" t="s">
        <v>626</v>
      </c>
      <c r="N293" s="6" t="s">
        <v>657</v>
      </c>
      <c r="O293" s="6">
        <v>0</v>
      </c>
      <c r="P293" s="6" t="s">
        <v>1215</v>
      </c>
      <c r="Q293" s="35">
        <v>1</v>
      </c>
      <c r="R293" s="35">
        <v>0</v>
      </c>
      <c r="S293" s="35">
        <v>0</v>
      </c>
      <c r="T293" s="35">
        <v>1</v>
      </c>
      <c r="U293" s="35">
        <v>0</v>
      </c>
      <c r="V293" s="35">
        <v>0</v>
      </c>
      <c r="W293" s="35">
        <v>0</v>
      </c>
      <c r="X293" s="6" t="s">
        <v>801</v>
      </c>
      <c r="Y293" s="6">
        <v>1</v>
      </c>
      <c r="Z293" s="6">
        <v>0</v>
      </c>
      <c r="AA293" s="6">
        <v>0</v>
      </c>
      <c r="AB293" s="6">
        <v>1</v>
      </c>
      <c r="AC293" s="6">
        <v>0</v>
      </c>
      <c r="AD293" s="14" t="s">
        <v>43</v>
      </c>
      <c r="AE293" s="13" t="s">
        <v>581</v>
      </c>
      <c r="AF293" s="13" t="s">
        <v>194</v>
      </c>
      <c r="AG293" s="8" t="s">
        <v>194</v>
      </c>
      <c r="AH293" s="11">
        <v>40943</v>
      </c>
      <c r="AI293" s="10">
        <v>622</v>
      </c>
      <c r="AJ293" s="12">
        <v>113.25</v>
      </c>
      <c r="AK293" s="12">
        <f t="shared" si="19"/>
        <v>18.207395498392284</v>
      </c>
      <c r="AL293" s="12" t="str">
        <f t="shared" si="22"/>
        <v>10% a 25%</v>
      </c>
      <c r="AM293" s="6" t="s">
        <v>663</v>
      </c>
      <c r="AN293" s="6" t="s">
        <v>616</v>
      </c>
      <c r="AO293" s="6" t="s">
        <v>699</v>
      </c>
      <c r="AP293" s="6">
        <v>0</v>
      </c>
      <c r="AQ293" s="6" t="s">
        <v>1214</v>
      </c>
      <c r="AR293" s="6" t="s">
        <v>1403</v>
      </c>
      <c r="AS293" s="6">
        <v>0</v>
      </c>
      <c r="AT293" s="6">
        <v>0</v>
      </c>
      <c r="AU293" s="6">
        <v>0</v>
      </c>
      <c r="AV293" s="6">
        <v>0</v>
      </c>
      <c r="AW293" s="6" t="s">
        <v>1273</v>
      </c>
      <c r="AX293" s="31">
        <v>0</v>
      </c>
      <c r="AY293" s="31">
        <v>5</v>
      </c>
      <c r="AZ293" s="31">
        <v>10</v>
      </c>
      <c r="BA293" s="12">
        <f t="shared" si="20"/>
        <v>5.333333333333333</v>
      </c>
      <c r="BB293" s="31">
        <v>1</v>
      </c>
      <c r="BC293" s="31">
        <v>0</v>
      </c>
      <c r="BD293" s="31">
        <v>0</v>
      </c>
      <c r="BE293" s="31">
        <v>0</v>
      </c>
      <c r="BF293" s="12">
        <f t="shared" si="21"/>
        <v>0</v>
      </c>
      <c r="BG293" s="6" t="s">
        <v>636</v>
      </c>
      <c r="BH293" s="6" t="s">
        <v>1394</v>
      </c>
      <c r="BI293" s="6">
        <v>1</v>
      </c>
      <c r="BJ293" s="6" t="s">
        <v>609</v>
      </c>
      <c r="BK293" s="6">
        <v>0</v>
      </c>
      <c r="BL293" s="6">
        <v>0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  <c r="BR293" s="6">
        <v>0</v>
      </c>
    </row>
    <row r="294" spans="1:70" ht="52.8" customHeight="1" x14ac:dyDescent="0.3">
      <c r="A294" s="6">
        <v>575314</v>
      </c>
      <c r="B294" s="6" t="s">
        <v>13</v>
      </c>
      <c r="C294" s="15" t="s">
        <v>1274</v>
      </c>
      <c r="D294" s="6" t="s">
        <v>106</v>
      </c>
      <c r="E294" s="6" t="s">
        <v>15</v>
      </c>
      <c r="F294" s="7">
        <v>41890</v>
      </c>
      <c r="G294" s="7">
        <v>42248</v>
      </c>
      <c r="H294" s="8" t="s">
        <v>59</v>
      </c>
      <c r="I294" s="3" t="s">
        <v>48</v>
      </c>
      <c r="J294" s="3" t="s">
        <v>18</v>
      </c>
      <c r="K294" t="s">
        <v>19</v>
      </c>
      <c r="L294" s="6" t="s">
        <v>696</v>
      </c>
      <c r="M294" s="14" t="s">
        <v>626</v>
      </c>
      <c r="N294" s="6" t="s">
        <v>657</v>
      </c>
      <c r="O294" s="6">
        <v>0</v>
      </c>
      <c r="P294" s="6" t="s">
        <v>935</v>
      </c>
      <c r="Q294" s="35">
        <v>0</v>
      </c>
      <c r="R294" s="35">
        <v>0</v>
      </c>
      <c r="S294" s="35">
        <v>0</v>
      </c>
      <c r="T294" s="35">
        <v>1</v>
      </c>
      <c r="U294" s="35">
        <v>0</v>
      </c>
      <c r="V294" s="35">
        <v>0</v>
      </c>
      <c r="W294" s="35">
        <v>0</v>
      </c>
      <c r="X294" s="6" t="s">
        <v>657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14" t="s">
        <v>43</v>
      </c>
      <c r="AE294" s="13" t="s">
        <v>582</v>
      </c>
      <c r="AF294" s="13" t="s">
        <v>194</v>
      </c>
      <c r="AG294" s="8" t="s">
        <v>194</v>
      </c>
      <c r="AH294" s="11">
        <v>40603</v>
      </c>
      <c r="AI294" s="10">
        <v>545</v>
      </c>
      <c r="AJ294" s="12">
        <v>20</v>
      </c>
      <c r="AK294" s="12">
        <f t="shared" si="19"/>
        <v>3.669724770642202</v>
      </c>
      <c r="AL294" s="12" t="str">
        <f t="shared" si="22"/>
        <v>Até 10%</v>
      </c>
      <c r="AM294" s="6" t="s">
        <v>624</v>
      </c>
      <c r="AN294" s="6" t="s">
        <v>1452</v>
      </c>
      <c r="AO294" s="6" t="s">
        <v>699</v>
      </c>
      <c r="AP294" s="6">
        <v>0</v>
      </c>
      <c r="AQ294" s="6" t="s">
        <v>625</v>
      </c>
      <c r="AR294" s="6" t="s">
        <v>1400</v>
      </c>
      <c r="AS294" s="6">
        <v>1</v>
      </c>
      <c r="AT294" s="6">
        <v>0</v>
      </c>
      <c r="AU294" s="6">
        <v>0</v>
      </c>
      <c r="AV294" s="6">
        <v>0</v>
      </c>
      <c r="AW294" s="6">
        <v>0</v>
      </c>
      <c r="AX294" s="31">
        <v>0</v>
      </c>
      <c r="AY294" s="31">
        <v>0</v>
      </c>
      <c r="AZ294" s="31">
        <v>0</v>
      </c>
      <c r="BA294" s="12">
        <f t="shared" si="20"/>
        <v>0</v>
      </c>
      <c r="BB294" s="31">
        <v>0</v>
      </c>
      <c r="BC294" s="31">
        <v>0</v>
      </c>
      <c r="BD294" s="31">
        <v>0</v>
      </c>
      <c r="BE294" s="31">
        <v>0</v>
      </c>
      <c r="BF294" s="12">
        <f t="shared" si="21"/>
        <v>0</v>
      </c>
      <c r="BG294" s="6">
        <v>0</v>
      </c>
      <c r="BH294" s="6">
        <v>0</v>
      </c>
      <c r="BI294" s="6">
        <v>0</v>
      </c>
      <c r="BJ294" s="6" t="s">
        <v>620</v>
      </c>
      <c r="BK294" s="6">
        <v>0</v>
      </c>
      <c r="BL294" s="6">
        <v>0</v>
      </c>
      <c r="BM294" s="6">
        <v>1</v>
      </c>
      <c r="BN294" s="6">
        <v>1</v>
      </c>
      <c r="BO294" s="6" t="s">
        <v>1234</v>
      </c>
      <c r="BP294" s="6" t="s">
        <v>1459</v>
      </c>
      <c r="BQ294" s="6" t="s">
        <v>1460</v>
      </c>
      <c r="BR294" s="6" t="s">
        <v>1460</v>
      </c>
    </row>
    <row r="295" spans="1:70" ht="52.8" customHeight="1" x14ac:dyDescent="0.3">
      <c r="A295" s="6">
        <v>329785</v>
      </c>
      <c r="B295" s="6" t="s">
        <v>24</v>
      </c>
      <c r="C295" s="15" t="s">
        <v>583</v>
      </c>
      <c r="D295" s="6" t="s">
        <v>33</v>
      </c>
      <c r="E295" s="6" t="s">
        <v>15</v>
      </c>
      <c r="F295" s="7">
        <v>42198</v>
      </c>
      <c r="G295" s="7">
        <v>42472</v>
      </c>
      <c r="H295" s="8" t="s">
        <v>94</v>
      </c>
      <c r="I295" s="3" t="s">
        <v>17</v>
      </c>
      <c r="J295" s="3" t="s">
        <v>18</v>
      </c>
      <c r="K295" t="s">
        <v>19</v>
      </c>
      <c r="L295" s="6" t="s">
        <v>695</v>
      </c>
      <c r="M295" s="14" t="s">
        <v>35</v>
      </c>
      <c r="N295" s="6" t="s">
        <v>657</v>
      </c>
      <c r="O295" s="6">
        <v>0</v>
      </c>
      <c r="P295" s="6" t="s">
        <v>1209</v>
      </c>
      <c r="Q295" s="35">
        <v>1</v>
      </c>
      <c r="R295" s="35">
        <v>1</v>
      </c>
      <c r="S295" s="35">
        <v>0</v>
      </c>
      <c r="T295" s="35">
        <v>0</v>
      </c>
      <c r="U295" s="35">
        <v>0</v>
      </c>
      <c r="V295" s="35">
        <v>0</v>
      </c>
      <c r="W295" s="35">
        <v>0</v>
      </c>
      <c r="X295" s="6" t="s">
        <v>971</v>
      </c>
      <c r="Y295" s="6">
        <v>1</v>
      </c>
      <c r="Z295" s="6">
        <v>0</v>
      </c>
      <c r="AA295" s="6">
        <v>0</v>
      </c>
      <c r="AB295" s="6">
        <v>0</v>
      </c>
      <c r="AC295" s="6">
        <v>1</v>
      </c>
      <c r="AD295" s="14" t="s">
        <v>43</v>
      </c>
      <c r="AE295" s="13" t="s">
        <v>584</v>
      </c>
      <c r="AF295" s="13" t="s">
        <v>36</v>
      </c>
      <c r="AG295" s="8" t="s">
        <v>1357</v>
      </c>
      <c r="AH295" s="11">
        <v>41359</v>
      </c>
      <c r="AI295" s="10">
        <v>678</v>
      </c>
      <c r="AJ295" s="12">
        <v>82.98</v>
      </c>
      <c r="AK295" s="12">
        <f t="shared" si="19"/>
        <v>12.238938053097344</v>
      </c>
      <c r="AL295" s="12" t="str">
        <f t="shared" si="22"/>
        <v>10% a 25%</v>
      </c>
      <c r="AM295" s="6" t="s">
        <v>737</v>
      </c>
      <c r="AN295" s="6" t="s">
        <v>1454</v>
      </c>
      <c r="AO295" s="6" t="s">
        <v>701</v>
      </c>
      <c r="AP295" s="6">
        <v>1</v>
      </c>
      <c r="AQ295" s="6" t="s">
        <v>658</v>
      </c>
      <c r="AR295" s="6" t="s">
        <v>1399</v>
      </c>
      <c r="AS295" s="6">
        <v>0</v>
      </c>
      <c r="AT295" s="6">
        <v>0</v>
      </c>
      <c r="AU295" s="6">
        <v>0</v>
      </c>
      <c r="AV295" s="6">
        <v>0</v>
      </c>
      <c r="AW295" s="6" t="s">
        <v>664</v>
      </c>
      <c r="AX295" s="31">
        <v>0</v>
      </c>
      <c r="AY295" s="31">
        <v>8</v>
      </c>
      <c r="AZ295" s="31">
        <v>0</v>
      </c>
      <c r="BA295" s="12">
        <f t="shared" si="20"/>
        <v>8</v>
      </c>
      <c r="BB295" s="31">
        <v>6</v>
      </c>
      <c r="BC295" s="31">
        <v>0</v>
      </c>
      <c r="BD295" s="31">
        <v>0</v>
      </c>
      <c r="BE295" s="31">
        <v>0</v>
      </c>
      <c r="BF295" s="12">
        <f t="shared" si="21"/>
        <v>0</v>
      </c>
      <c r="BG295" s="6" t="s">
        <v>615</v>
      </c>
      <c r="BH295" s="6" t="s">
        <v>1393</v>
      </c>
      <c r="BI295" s="6">
        <v>0</v>
      </c>
      <c r="BJ295" s="6" t="s">
        <v>609</v>
      </c>
      <c r="BK295" s="6">
        <v>0</v>
      </c>
      <c r="BL295" s="6">
        <v>1</v>
      </c>
      <c r="BM295" s="6">
        <v>0</v>
      </c>
      <c r="BN295" s="6">
        <v>0</v>
      </c>
      <c r="BO295" s="6">
        <v>0</v>
      </c>
      <c r="BP295" s="6">
        <v>0</v>
      </c>
      <c r="BQ295" s="6">
        <v>0</v>
      </c>
      <c r="BR295" s="6">
        <v>0</v>
      </c>
    </row>
    <row r="296" spans="1:70" ht="52.8" customHeight="1" x14ac:dyDescent="0.3">
      <c r="A296" s="6">
        <v>886832</v>
      </c>
      <c r="B296" s="6" t="s">
        <v>46</v>
      </c>
      <c r="C296" s="15" t="s">
        <v>585</v>
      </c>
      <c r="D296" s="6" t="s">
        <v>14</v>
      </c>
      <c r="E296" s="6" t="s">
        <v>15</v>
      </c>
      <c r="F296" s="7">
        <v>42462</v>
      </c>
      <c r="G296" s="7">
        <v>42478</v>
      </c>
      <c r="H296" s="8" t="s">
        <v>57</v>
      </c>
      <c r="I296" s="3" t="s">
        <v>48</v>
      </c>
      <c r="J296" s="3" t="s">
        <v>18</v>
      </c>
      <c r="K296" t="s">
        <v>19</v>
      </c>
      <c r="L296" s="6" t="s">
        <v>696</v>
      </c>
      <c r="M296" s="14" t="s">
        <v>626</v>
      </c>
      <c r="N296" s="6" t="s">
        <v>657</v>
      </c>
      <c r="O296" s="6">
        <v>0</v>
      </c>
      <c r="P296" s="6" t="s">
        <v>935</v>
      </c>
      <c r="Q296" s="35">
        <v>0</v>
      </c>
      <c r="R296" s="35">
        <v>0</v>
      </c>
      <c r="S296" s="35">
        <v>0</v>
      </c>
      <c r="T296" s="35">
        <v>1</v>
      </c>
      <c r="U296" s="35">
        <v>0</v>
      </c>
      <c r="V296" s="35">
        <v>0</v>
      </c>
      <c r="W296" s="35">
        <v>0</v>
      </c>
      <c r="X296" s="6" t="s">
        <v>801</v>
      </c>
      <c r="Y296" s="6">
        <v>1</v>
      </c>
      <c r="Z296" s="6">
        <v>0</v>
      </c>
      <c r="AA296" s="6">
        <v>0</v>
      </c>
      <c r="AB296" s="6">
        <v>1</v>
      </c>
      <c r="AC296" s="6">
        <v>0</v>
      </c>
      <c r="AD296" s="14" t="s">
        <v>21</v>
      </c>
      <c r="AE296" s="13" t="s">
        <v>586</v>
      </c>
      <c r="AF296" s="13" t="s">
        <v>23</v>
      </c>
      <c r="AG296" s="8" t="s">
        <v>1357</v>
      </c>
      <c r="AH296" s="11">
        <v>40453</v>
      </c>
      <c r="AI296" s="10">
        <v>510</v>
      </c>
      <c r="AJ296" s="12">
        <v>20</v>
      </c>
      <c r="AK296" s="12">
        <f t="shared" si="19"/>
        <v>3.9215686274509802</v>
      </c>
      <c r="AL296" s="12" t="str">
        <f t="shared" si="22"/>
        <v>Até 10%</v>
      </c>
      <c r="AM296" s="6" t="s">
        <v>1275</v>
      </c>
      <c r="AN296" s="6" t="s">
        <v>618</v>
      </c>
      <c r="AO296" s="6" t="s">
        <v>699</v>
      </c>
      <c r="AP296" s="6">
        <v>0</v>
      </c>
      <c r="AQ296" s="6" t="s">
        <v>1278</v>
      </c>
      <c r="AR296" s="6" t="s">
        <v>1403</v>
      </c>
      <c r="AS296" s="6">
        <v>1</v>
      </c>
      <c r="AT296" s="6">
        <v>0</v>
      </c>
      <c r="AU296" s="6">
        <v>0</v>
      </c>
      <c r="AV296" s="6">
        <v>0</v>
      </c>
      <c r="AW296" s="6" t="s">
        <v>1276</v>
      </c>
      <c r="AX296" s="31">
        <v>0</v>
      </c>
      <c r="AY296" s="31">
        <v>0</v>
      </c>
      <c r="AZ296" s="31">
        <v>0</v>
      </c>
      <c r="BA296" s="12">
        <f t="shared" si="20"/>
        <v>0</v>
      </c>
      <c r="BB296" s="31">
        <v>12</v>
      </c>
      <c r="BC296" s="31">
        <v>2</v>
      </c>
      <c r="BD296" s="31">
        <v>4</v>
      </c>
      <c r="BE296" s="31">
        <v>24</v>
      </c>
      <c r="BF296" s="12">
        <f t="shared" si="21"/>
        <v>29.133333333333333</v>
      </c>
      <c r="BG296" s="6" t="s">
        <v>1277</v>
      </c>
      <c r="BH296" s="6" t="s">
        <v>1394</v>
      </c>
      <c r="BI296" s="6">
        <v>1</v>
      </c>
      <c r="BJ296" s="6" t="s">
        <v>609</v>
      </c>
      <c r="BK296" s="6">
        <v>0</v>
      </c>
      <c r="BL296" s="6">
        <v>0</v>
      </c>
      <c r="BM296" s="6">
        <v>0</v>
      </c>
      <c r="BN296" s="6">
        <v>0</v>
      </c>
      <c r="BO296" s="6">
        <v>0</v>
      </c>
      <c r="BP296" s="6">
        <v>0</v>
      </c>
      <c r="BQ296" s="6">
        <v>0</v>
      </c>
      <c r="BR296" s="6">
        <v>0</v>
      </c>
    </row>
    <row r="297" spans="1:70" ht="52.8" customHeight="1" x14ac:dyDescent="0.3">
      <c r="A297" s="6">
        <v>648178</v>
      </c>
      <c r="B297" s="6" t="s">
        <v>46</v>
      </c>
      <c r="C297" s="15" t="s">
        <v>587</v>
      </c>
      <c r="D297" s="6" t="s">
        <v>64</v>
      </c>
      <c r="E297" s="6" t="s">
        <v>15</v>
      </c>
      <c r="F297" s="7">
        <v>42038</v>
      </c>
      <c r="G297" s="7">
        <v>42075</v>
      </c>
      <c r="H297" s="8" t="s">
        <v>52</v>
      </c>
      <c r="I297" s="3" t="s">
        <v>48</v>
      </c>
      <c r="J297" s="3" t="s">
        <v>18</v>
      </c>
      <c r="K297" t="s">
        <v>19</v>
      </c>
      <c r="L297" s="6" t="s">
        <v>695</v>
      </c>
      <c r="M297" s="14" t="s">
        <v>626</v>
      </c>
      <c r="N297" s="6" t="s">
        <v>657</v>
      </c>
      <c r="O297" s="6">
        <v>0</v>
      </c>
      <c r="P297" s="6" t="s">
        <v>935</v>
      </c>
      <c r="Q297" s="35">
        <v>0</v>
      </c>
      <c r="R297" s="35">
        <v>0</v>
      </c>
      <c r="S297" s="35">
        <v>0</v>
      </c>
      <c r="T297" s="35">
        <v>1</v>
      </c>
      <c r="U297" s="35">
        <v>0</v>
      </c>
      <c r="V297" s="35">
        <v>0</v>
      </c>
      <c r="W297" s="35">
        <v>0</v>
      </c>
      <c r="X297" s="6" t="s">
        <v>801</v>
      </c>
      <c r="Y297" s="6">
        <v>1</v>
      </c>
      <c r="Z297" s="6">
        <v>0</v>
      </c>
      <c r="AA297" s="6">
        <v>0</v>
      </c>
      <c r="AB297" s="6">
        <v>1</v>
      </c>
      <c r="AC297" s="6">
        <v>0</v>
      </c>
      <c r="AD297" s="14" t="s">
        <v>21</v>
      </c>
      <c r="AE297" s="13" t="s">
        <v>588</v>
      </c>
      <c r="AF297" s="13" t="s">
        <v>66</v>
      </c>
      <c r="AG297" s="8" t="s">
        <v>1357</v>
      </c>
      <c r="AH297" s="11">
        <v>39900</v>
      </c>
      <c r="AI297" s="10">
        <v>465</v>
      </c>
      <c r="AJ297" s="12">
        <v>30</v>
      </c>
      <c r="AK297" s="12">
        <f t="shared" si="19"/>
        <v>6.4516129032258061</v>
      </c>
      <c r="AL297" s="12" t="str">
        <f t="shared" si="22"/>
        <v>Até 10%</v>
      </c>
      <c r="AM297" s="6" t="s">
        <v>737</v>
      </c>
      <c r="AN297" s="6" t="s">
        <v>1454</v>
      </c>
      <c r="AO297" s="6" t="s">
        <v>699</v>
      </c>
      <c r="AP297" s="6">
        <v>0</v>
      </c>
      <c r="AQ297" s="6" t="s">
        <v>1422</v>
      </c>
      <c r="AR297" s="6" t="s">
        <v>1400</v>
      </c>
      <c r="AS297" s="6">
        <v>0</v>
      </c>
      <c r="AT297" s="6">
        <v>0</v>
      </c>
      <c r="AU297" s="6">
        <v>0</v>
      </c>
      <c r="AV297" s="6">
        <v>2</v>
      </c>
      <c r="AW297" s="6" t="s">
        <v>1279</v>
      </c>
      <c r="AX297" s="31">
        <v>1</v>
      </c>
      <c r="AY297" s="31">
        <v>0</v>
      </c>
      <c r="AZ297" s="31">
        <v>0</v>
      </c>
      <c r="BA297" s="12">
        <f t="shared" si="20"/>
        <v>12.166666666666666</v>
      </c>
      <c r="BB297" s="31">
        <v>15</v>
      </c>
      <c r="BC297" s="31">
        <v>0</v>
      </c>
      <c r="BD297" s="31">
        <v>6</v>
      </c>
      <c r="BE297" s="31">
        <v>0</v>
      </c>
      <c r="BF297" s="12">
        <f t="shared" si="21"/>
        <v>6</v>
      </c>
      <c r="BG297" s="6" t="s">
        <v>1277</v>
      </c>
      <c r="BH297" s="6" t="s">
        <v>1394</v>
      </c>
      <c r="BI297" s="6">
        <v>1</v>
      </c>
      <c r="BJ297" s="6" t="s">
        <v>609</v>
      </c>
      <c r="BK297" s="6">
        <v>0</v>
      </c>
      <c r="BL297" s="6">
        <v>0</v>
      </c>
      <c r="BM297" s="6">
        <v>0</v>
      </c>
      <c r="BN297" s="6">
        <v>1</v>
      </c>
      <c r="BO297" s="6">
        <v>0</v>
      </c>
      <c r="BP297" s="6">
        <v>0</v>
      </c>
      <c r="BQ297" s="6">
        <v>0</v>
      </c>
      <c r="BR297" s="6">
        <v>0</v>
      </c>
    </row>
    <row r="298" spans="1:70" ht="52.8" customHeight="1" x14ac:dyDescent="0.3">
      <c r="A298" s="6">
        <v>618562</v>
      </c>
      <c r="B298" s="6" t="s">
        <v>46</v>
      </c>
      <c r="C298" s="15" t="s">
        <v>589</v>
      </c>
      <c r="D298" s="6" t="s">
        <v>41</v>
      </c>
      <c r="E298" s="6" t="s">
        <v>15</v>
      </c>
      <c r="F298" s="7">
        <v>41967</v>
      </c>
      <c r="G298" s="7">
        <v>42090</v>
      </c>
      <c r="H298" s="8" t="s">
        <v>59</v>
      </c>
      <c r="I298" s="3" t="s">
        <v>17</v>
      </c>
      <c r="J298" s="3" t="s">
        <v>18</v>
      </c>
      <c r="K298" t="s">
        <v>19</v>
      </c>
      <c r="L298" s="6" t="s">
        <v>696</v>
      </c>
      <c r="M298" s="14" t="s">
        <v>626</v>
      </c>
      <c r="N298" s="6" t="s">
        <v>657</v>
      </c>
      <c r="O298" s="6">
        <v>0</v>
      </c>
      <c r="P298" s="6" t="s">
        <v>1209</v>
      </c>
      <c r="Q298" s="35">
        <v>1</v>
      </c>
      <c r="R298" s="35">
        <v>1</v>
      </c>
      <c r="S298" s="35">
        <v>0</v>
      </c>
      <c r="T298" s="35">
        <v>0</v>
      </c>
      <c r="U298" s="35">
        <v>0</v>
      </c>
      <c r="V298" s="35">
        <v>0</v>
      </c>
      <c r="W298" s="35">
        <v>0</v>
      </c>
      <c r="X298" s="6" t="s">
        <v>780</v>
      </c>
      <c r="Y298" s="6">
        <v>1</v>
      </c>
      <c r="Z298" s="6">
        <v>1</v>
      </c>
      <c r="AA298" s="6">
        <v>0</v>
      </c>
      <c r="AB298" s="6">
        <v>0</v>
      </c>
      <c r="AC298" s="6">
        <v>0</v>
      </c>
      <c r="AD298" s="14" t="s">
        <v>21</v>
      </c>
      <c r="AE298" s="13" t="s">
        <v>590</v>
      </c>
      <c r="AF298" s="13" t="s">
        <v>45</v>
      </c>
      <c r="AG298" s="8" t="s">
        <v>1357</v>
      </c>
      <c r="AH298" s="11">
        <v>40872</v>
      </c>
      <c r="AI298" s="10">
        <v>545</v>
      </c>
      <c r="AJ298" s="12">
        <v>160</v>
      </c>
      <c r="AK298" s="12">
        <f t="shared" si="19"/>
        <v>29.357798165137616</v>
      </c>
      <c r="AL298" s="12" t="str">
        <f t="shared" si="22"/>
        <v>25% a 50%</v>
      </c>
      <c r="AM298" s="6" t="s">
        <v>737</v>
      </c>
      <c r="AN298" s="6" t="s">
        <v>1454</v>
      </c>
      <c r="AO298" s="6" t="s">
        <v>699</v>
      </c>
      <c r="AP298" s="6">
        <v>0</v>
      </c>
      <c r="AQ298" s="6" t="s">
        <v>658</v>
      </c>
      <c r="AR298" s="6" t="s">
        <v>1399</v>
      </c>
      <c r="AS298" s="6">
        <v>0</v>
      </c>
      <c r="AT298" s="6">
        <v>0</v>
      </c>
      <c r="AU298" s="6">
        <v>0</v>
      </c>
      <c r="AV298" s="6">
        <v>0</v>
      </c>
      <c r="AW298" s="6" t="s">
        <v>1280</v>
      </c>
      <c r="AX298" s="31">
        <v>0</v>
      </c>
      <c r="AY298" s="31">
        <v>7</v>
      </c>
      <c r="AZ298" s="31">
        <v>15</v>
      </c>
      <c r="BA298" s="12">
        <f t="shared" si="20"/>
        <v>7.5</v>
      </c>
      <c r="BB298" s="31">
        <v>10</v>
      </c>
      <c r="BC298" s="31">
        <v>0</v>
      </c>
      <c r="BD298" s="31">
        <v>0</v>
      </c>
      <c r="BE298" s="31">
        <v>0</v>
      </c>
      <c r="BF298" s="12">
        <f t="shared" si="21"/>
        <v>0</v>
      </c>
      <c r="BG298" s="6" t="s">
        <v>615</v>
      </c>
      <c r="BH298" s="6" t="s">
        <v>1393</v>
      </c>
      <c r="BI298" s="6">
        <v>0</v>
      </c>
      <c r="BJ298" s="6" t="s">
        <v>609</v>
      </c>
      <c r="BK298" s="6">
        <v>0</v>
      </c>
      <c r="BL298" s="6">
        <v>1</v>
      </c>
      <c r="BM298" s="6">
        <v>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</row>
    <row r="299" spans="1:70" ht="52.8" customHeight="1" x14ac:dyDescent="0.3">
      <c r="A299" s="6">
        <v>332395</v>
      </c>
      <c r="B299" s="6" t="s">
        <v>24</v>
      </c>
      <c r="C299" s="15" t="s">
        <v>591</v>
      </c>
      <c r="D299" s="6" t="s">
        <v>14</v>
      </c>
      <c r="E299" s="6" t="s">
        <v>15</v>
      </c>
      <c r="F299" s="7">
        <v>42223</v>
      </c>
      <c r="G299" s="7">
        <v>42500</v>
      </c>
      <c r="H299" s="8" t="s">
        <v>16</v>
      </c>
      <c r="I299" s="3" t="s">
        <v>48</v>
      </c>
      <c r="J299" s="3" t="s">
        <v>18</v>
      </c>
      <c r="K299" t="s">
        <v>19</v>
      </c>
      <c r="L299" s="6" t="s">
        <v>695</v>
      </c>
      <c r="M299" s="14" t="s">
        <v>1283</v>
      </c>
      <c r="N299" s="6" t="s">
        <v>657</v>
      </c>
      <c r="O299" s="6">
        <v>0</v>
      </c>
      <c r="P299" s="6" t="s">
        <v>1215</v>
      </c>
      <c r="Q299" s="35">
        <v>1</v>
      </c>
      <c r="R299" s="35">
        <v>0</v>
      </c>
      <c r="S299" s="35">
        <v>0</v>
      </c>
      <c r="T299" s="35">
        <v>1</v>
      </c>
      <c r="U299" s="35">
        <v>0</v>
      </c>
      <c r="V299" s="35">
        <v>0</v>
      </c>
      <c r="W299" s="35">
        <v>0</v>
      </c>
      <c r="X299" s="6" t="s">
        <v>780</v>
      </c>
      <c r="Y299" s="6">
        <v>1</v>
      </c>
      <c r="Z299" s="6">
        <v>1</v>
      </c>
      <c r="AA299" s="6">
        <v>0</v>
      </c>
      <c r="AB299" s="6">
        <v>0</v>
      </c>
      <c r="AC299" s="6">
        <v>0</v>
      </c>
      <c r="AD299" s="14" t="s">
        <v>43</v>
      </c>
      <c r="AE299" s="13" t="s">
        <v>592</v>
      </c>
      <c r="AF299" s="13" t="s">
        <v>593</v>
      </c>
      <c r="AG299" s="8" t="s">
        <v>1349</v>
      </c>
      <c r="AH299" s="11">
        <v>40423</v>
      </c>
      <c r="AI299" s="10">
        <v>510</v>
      </c>
      <c r="AJ299" s="12">
        <v>130</v>
      </c>
      <c r="AK299" s="12">
        <f t="shared" si="19"/>
        <v>25.490196078431371</v>
      </c>
      <c r="AL299" s="12" t="str">
        <f t="shared" si="22"/>
        <v>25% a 50%</v>
      </c>
      <c r="AM299" s="6" t="s">
        <v>1281</v>
      </c>
      <c r="AN299" s="6" t="s">
        <v>1454</v>
      </c>
      <c r="AO299" s="6" t="s">
        <v>699</v>
      </c>
      <c r="AP299" s="6">
        <v>0</v>
      </c>
      <c r="AQ299" s="6" t="s">
        <v>667</v>
      </c>
      <c r="AR299" s="6" t="s">
        <v>1400</v>
      </c>
      <c r="AS299" s="6">
        <v>0</v>
      </c>
      <c r="AT299" s="6">
        <v>0</v>
      </c>
      <c r="AU299" s="6">
        <v>0</v>
      </c>
      <c r="AV299" s="6">
        <v>0</v>
      </c>
      <c r="AW299" s="6" t="s">
        <v>1074</v>
      </c>
      <c r="AX299" s="31">
        <v>1</v>
      </c>
      <c r="AY299" s="31">
        <v>4</v>
      </c>
      <c r="AZ299" s="31">
        <v>0</v>
      </c>
      <c r="BA299" s="12">
        <f t="shared" si="20"/>
        <v>16.166666666666668</v>
      </c>
      <c r="BB299" s="31">
        <v>6</v>
      </c>
      <c r="BC299" s="31">
        <v>0</v>
      </c>
      <c r="BD299" s="31">
        <v>0</v>
      </c>
      <c r="BE299" s="31">
        <v>0</v>
      </c>
      <c r="BF299" s="12">
        <f t="shared" si="21"/>
        <v>0</v>
      </c>
      <c r="BG299" s="6" t="s">
        <v>1277</v>
      </c>
      <c r="BH299" s="6" t="s">
        <v>1394</v>
      </c>
      <c r="BI299" s="6">
        <v>1</v>
      </c>
      <c r="BJ299" s="6" t="s">
        <v>609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</row>
    <row r="300" spans="1:70" ht="52.8" customHeight="1" x14ac:dyDescent="0.3">
      <c r="A300" s="6">
        <v>1521251</v>
      </c>
      <c r="B300" s="6" t="s">
        <v>26</v>
      </c>
      <c r="C300" s="15" t="s">
        <v>594</v>
      </c>
      <c r="D300" s="6" t="s">
        <v>64</v>
      </c>
      <c r="E300" s="6" t="s">
        <v>15</v>
      </c>
      <c r="F300" s="7">
        <v>42088</v>
      </c>
      <c r="G300" s="7">
        <v>42128</v>
      </c>
      <c r="H300" s="8" t="s">
        <v>59</v>
      </c>
      <c r="I300" s="3" t="s">
        <v>48</v>
      </c>
      <c r="J300" s="3" t="s">
        <v>18</v>
      </c>
      <c r="K300" t="s">
        <v>19</v>
      </c>
      <c r="L300" s="6" t="s">
        <v>696</v>
      </c>
      <c r="M300" s="14" t="s">
        <v>724</v>
      </c>
      <c r="N300" s="6" t="s">
        <v>657</v>
      </c>
      <c r="O300" s="6">
        <v>0</v>
      </c>
      <c r="P300" s="6" t="s">
        <v>1215</v>
      </c>
      <c r="Q300" s="35">
        <v>1</v>
      </c>
      <c r="R300" s="35">
        <v>0</v>
      </c>
      <c r="S300" s="35">
        <v>0</v>
      </c>
      <c r="T300" s="35">
        <v>1</v>
      </c>
      <c r="U300" s="35">
        <v>0</v>
      </c>
      <c r="V300" s="35">
        <v>0</v>
      </c>
      <c r="W300" s="35">
        <v>0</v>
      </c>
      <c r="X300" s="6" t="s">
        <v>657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14" t="s">
        <v>21</v>
      </c>
      <c r="AE300" s="13" t="s">
        <v>595</v>
      </c>
      <c r="AF300" s="13" t="s">
        <v>66</v>
      </c>
      <c r="AG300" s="8" t="s">
        <v>1357</v>
      </c>
      <c r="AH300" s="11">
        <v>40597</v>
      </c>
      <c r="AI300" s="10">
        <v>545</v>
      </c>
      <c r="AJ300" s="12">
        <v>118</v>
      </c>
      <c r="AK300" s="12">
        <f t="shared" si="19"/>
        <v>21.651376146788991</v>
      </c>
      <c r="AL300" s="12" t="str">
        <f t="shared" si="22"/>
        <v>10% a 25%</v>
      </c>
      <c r="AM300" s="6" t="s">
        <v>1284</v>
      </c>
      <c r="AN300" s="6" t="s">
        <v>1454</v>
      </c>
      <c r="AO300" s="6" t="s">
        <v>699</v>
      </c>
      <c r="AP300" s="6">
        <v>0</v>
      </c>
      <c r="AQ300" s="6" t="s">
        <v>952</v>
      </c>
      <c r="AR300" s="6" t="s">
        <v>1403</v>
      </c>
      <c r="AS300" s="6">
        <v>1</v>
      </c>
      <c r="AT300" s="6">
        <v>0</v>
      </c>
      <c r="AU300" s="6">
        <v>0</v>
      </c>
      <c r="AV300" s="6">
        <v>0</v>
      </c>
      <c r="AW300" s="6" t="s">
        <v>1100</v>
      </c>
      <c r="AX300" s="31">
        <v>1</v>
      </c>
      <c r="AY300" s="31">
        <v>0</v>
      </c>
      <c r="AZ300" s="31">
        <v>0</v>
      </c>
      <c r="BA300" s="12">
        <f t="shared" si="20"/>
        <v>12.166666666666666</v>
      </c>
      <c r="BB300" s="31">
        <v>5</v>
      </c>
      <c r="BC300" s="31">
        <v>0</v>
      </c>
      <c r="BD300" s="31">
        <v>0</v>
      </c>
      <c r="BE300" s="31">
        <v>0</v>
      </c>
      <c r="BF300" s="12">
        <f t="shared" si="21"/>
        <v>0</v>
      </c>
      <c r="BG300" s="6" t="s">
        <v>1277</v>
      </c>
      <c r="BH300" s="6" t="s">
        <v>1394</v>
      </c>
      <c r="BI300" s="6">
        <v>1</v>
      </c>
      <c r="BJ300" s="6" t="s">
        <v>609</v>
      </c>
      <c r="BK300" s="6">
        <v>0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</row>
    <row r="301" spans="1:70" ht="52.8" customHeight="1" x14ac:dyDescent="0.3">
      <c r="A301" s="6">
        <v>881584</v>
      </c>
      <c r="B301" s="6" t="s">
        <v>46</v>
      </c>
      <c r="C301" s="15" t="s">
        <v>596</v>
      </c>
      <c r="D301" s="6" t="s">
        <v>41</v>
      </c>
      <c r="E301" s="6" t="s">
        <v>15</v>
      </c>
      <c r="F301" s="7">
        <v>42450</v>
      </c>
      <c r="G301" s="7">
        <v>42509</v>
      </c>
      <c r="H301" s="8" t="s">
        <v>34</v>
      </c>
      <c r="I301" s="3" t="s">
        <v>17</v>
      </c>
      <c r="J301" s="3" t="s">
        <v>18</v>
      </c>
      <c r="K301" t="s">
        <v>19</v>
      </c>
      <c r="L301" s="6" t="s">
        <v>696</v>
      </c>
      <c r="M301" s="14" t="s">
        <v>626</v>
      </c>
      <c r="N301" s="6" t="s">
        <v>657</v>
      </c>
      <c r="O301" s="6">
        <v>0</v>
      </c>
      <c r="P301" s="6" t="s">
        <v>1282</v>
      </c>
      <c r="Q301" s="35">
        <v>1</v>
      </c>
      <c r="R301" s="35">
        <v>0</v>
      </c>
      <c r="S301" s="35">
        <v>0</v>
      </c>
      <c r="T301" s="35">
        <v>0</v>
      </c>
      <c r="U301" s="35">
        <v>0</v>
      </c>
      <c r="V301" s="35">
        <v>0</v>
      </c>
      <c r="W301" s="35">
        <v>0</v>
      </c>
      <c r="X301" s="6" t="s">
        <v>657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14" t="s">
        <v>21</v>
      </c>
      <c r="AE301" s="13" t="s">
        <v>597</v>
      </c>
      <c r="AF301" s="13" t="s">
        <v>45</v>
      </c>
      <c r="AG301" s="8" t="s">
        <v>1357</v>
      </c>
      <c r="AH301" s="11">
        <v>41015</v>
      </c>
      <c r="AI301" s="10">
        <v>622</v>
      </c>
      <c r="AJ301" s="12">
        <v>133</v>
      </c>
      <c r="AK301" s="12">
        <f t="shared" si="19"/>
        <v>21.382636655948552</v>
      </c>
      <c r="AL301" s="12" t="str">
        <f t="shared" si="22"/>
        <v>10% a 25%</v>
      </c>
      <c r="AM301" s="6" t="s">
        <v>1285</v>
      </c>
      <c r="AN301" s="6" t="s">
        <v>1453</v>
      </c>
      <c r="AO301" s="6" t="s">
        <v>699</v>
      </c>
      <c r="AP301" s="6">
        <v>0</v>
      </c>
      <c r="AQ301" s="6" t="s">
        <v>785</v>
      </c>
      <c r="AR301" s="6" t="s">
        <v>1401</v>
      </c>
      <c r="AS301" s="6">
        <v>1</v>
      </c>
      <c r="AT301" s="6">
        <v>0</v>
      </c>
      <c r="AU301" s="6">
        <v>0</v>
      </c>
      <c r="AV301" s="6">
        <v>0</v>
      </c>
      <c r="AW301" s="6" t="s">
        <v>741</v>
      </c>
      <c r="AX301" s="31">
        <v>0</v>
      </c>
      <c r="AY301" s="31">
        <v>8</v>
      </c>
      <c r="AZ301" s="31">
        <v>0</v>
      </c>
      <c r="BA301" s="12">
        <f t="shared" si="20"/>
        <v>8</v>
      </c>
      <c r="BB301" s="31">
        <v>10</v>
      </c>
      <c r="BC301" s="31">
        <v>0</v>
      </c>
      <c r="BD301" s="31">
        <v>0</v>
      </c>
      <c r="BE301" s="31">
        <v>0</v>
      </c>
      <c r="BF301" s="12">
        <f t="shared" si="21"/>
        <v>0</v>
      </c>
      <c r="BG301" s="6" t="s">
        <v>1277</v>
      </c>
      <c r="BH301" s="6" t="s">
        <v>1394</v>
      </c>
      <c r="BI301" s="6">
        <v>1</v>
      </c>
      <c r="BJ301" s="6" t="s">
        <v>609</v>
      </c>
      <c r="BK301" s="6">
        <v>0</v>
      </c>
      <c r="BL301" s="6">
        <v>0</v>
      </c>
      <c r="BM301" s="6">
        <v>0</v>
      </c>
      <c r="BN301" s="6">
        <v>0</v>
      </c>
      <c r="BO301" s="6">
        <v>0</v>
      </c>
      <c r="BP301" s="6">
        <v>0</v>
      </c>
      <c r="BQ301" s="6">
        <v>0</v>
      </c>
      <c r="BR301" s="6">
        <v>0</v>
      </c>
    </row>
    <row r="302" spans="1:70" ht="52.8" customHeight="1" x14ac:dyDescent="0.3">
      <c r="A302" s="6">
        <v>1492641</v>
      </c>
      <c r="B302" s="6" t="s">
        <v>13</v>
      </c>
      <c r="C302" s="15" t="s">
        <v>1286</v>
      </c>
      <c r="D302" s="6" t="s">
        <v>41</v>
      </c>
      <c r="E302" s="6" t="s">
        <v>15</v>
      </c>
      <c r="F302" s="7">
        <v>41946</v>
      </c>
      <c r="G302" s="7">
        <v>42178</v>
      </c>
      <c r="H302" s="8" t="s">
        <v>57</v>
      </c>
      <c r="I302" s="3" t="s">
        <v>48</v>
      </c>
      <c r="J302" s="3" t="s">
        <v>18</v>
      </c>
      <c r="K302" t="s">
        <v>19</v>
      </c>
      <c r="L302" s="6" t="s">
        <v>696</v>
      </c>
      <c r="M302" s="14" t="s">
        <v>626</v>
      </c>
      <c r="N302" s="6" t="s">
        <v>657</v>
      </c>
      <c r="O302" s="6">
        <v>0</v>
      </c>
      <c r="P302" s="6" t="s">
        <v>1287</v>
      </c>
      <c r="Q302" s="35">
        <v>1</v>
      </c>
      <c r="R302" s="35">
        <v>0</v>
      </c>
      <c r="S302" s="35">
        <v>1</v>
      </c>
      <c r="T302" s="35">
        <v>0</v>
      </c>
      <c r="U302" s="35">
        <v>0</v>
      </c>
      <c r="V302" s="35">
        <v>0</v>
      </c>
      <c r="W302" s="35">
        <v>0</v>
      </c>
      <c r="X302" s="6" t="s">
        <v>801</v>
      </c>
      <c r="Y302" s="6">
        <v>1</v>
      </c>
      <c r="Z302" s="6">
        <v>0</v>
      </c>
      <c r="AA302" s="6">
        <v>0</v>
      </c>
      <c r="AB302" s="6">
        <v>1</v>
      </c>
      <c r="AC302" s="6">
        <v>0</v>
      </c>
      <c r="AD302" s="14" t="s">
        <v>43</v>
      </c>
      <c r="AE302" s="13" t="s">
        <v>191</v>
      </c>
      <c r="AF302" s="13" t="s">
        <v>45</v>
      </c>
      <c r="AG302" s="8" t="s">
        <v>1357</v>
      </c>
      <c r="AH302" s="11">
        <v>41007</v>
      </c>
      <c r="AI302" s="10">
        <v>622</v>
      </c>
      <c r="AJ302" s="12">
        <v>1500</v>
      </c>
      <c r="AK302" s="12">
        <f t="shared" si="19"/>
        <v>241.15755627009645</v>
      </c>
      <c r="AL302" s="12" t="str">
        <f t="shared" si="22"/>
        <v>Acima de 50%</v>
      </c>
      <c r="AM302" s="6" t="s">
        <v>1288</v>
      </c>
      <c r="AN302" s="6" t="s">
        <v>1454</v>
      </c>
      <c r="AO302" s="6" t="s">
        <v>699</v>
      </c>
      <c r="AP302" s="6">
        <v>0</v>
      </c>
      <c r="AQ302" s="6" t="s">
        <v>613</v>
      </c>
      <c r="AR302" s="6" t="s">
        <v>1399</v>
      </c>
      <c r="AS302" s="6">
        <v>1</v>
      </c>
      <c r="AT302" s="6">
        <v>0</v>
      </c>
      <c r="AU302" s="6">
        <v>0</v>
      </c>
      <c r="AV302" s="6">
        <v>0</v>
      </c>
      <c r="AW302" s="6" t="s">
        <v>807</v>
      </c>
      <c r="AX302" s="31">
        <v>1</v>
      </c>
      <c r="AY302" s="31">
        <v>3</v>
      </c>
      <c r="AZ302" s="31">
        <v>0</v>
      </c>
      <c r="BA302" s="12">
        <f t="shared" si="20"/>
        <v>15.166666666666666</v>
      </c>
      <c r="BB302" s="31">
        <v>13</v>
      </c>
      <c r="BC302" s="31">
        <v>0</v>
      </c>
      <c r="BD302" s="31">
        <v>0</v>
      </c>
      <c r="BE302" s="31">
        <v>0</v>
      </c>
      <c r="BF302" s="12">
        <f t="shared" si="21"/>
        <v>0</v>
      </c>
      <c r="BG302" s="6" t="s">
        <v>637</v>
      </c>
      <c r="BH302" s="6" t="s">
        <v>1394</v>
      </c>
      <c r="BI302" s="6">
        <v>0</v>
      </c>
      <c r="BJ302" s="6" t="s">
        <v>609</v>
      </c>
      <c r="BK302" s="6">
        <v>0</v>
      </c>
      <c r="BL302" s="6">
        <v>0</v>
      </c>
      <c r="BM302" s="6">
        <v>0</v>
      </c>
      <c r="BN302" s="6">
        <v>1</v>
      </c>
      <c r="BO302" s="6">
        <v>0</v>
      </c>
      <c r="BP302" s="6">
        <v>0</v>
      </c>
      <c r="BQ302" s="6">
        <v>0</v>
      </c>
      <c r="BR302" s="6">
        <v>0</v>
      </c>
    </row>
    <row r="303" spans="1:70" ht="52.8" customHeight="1" x14ac:dyDescent="0.3">
      <c r="A303" s="6">
        <v>1531031</v>
      </c>
      <c r="B303" s="6" t="s">
        <v>26</v>
      </c>
      <c r="C303" s="15" t="s">
        <v>598</v>
      </c>
      <c r="D303" s="6" t="s">
        <v>41</v>
      </c>
      <c r="E303" s="6" t="s">
        <v>15</v>
      </c>
      <c r="F303" s="7">
        <v>42138</v>
      </c>
      <c r="G303" s="7">
        <v>44771</v>
      </c>
      <c r="H303" s="8" t="s">
        <v>29</v>
      </c>
      <c r="I303" s="3" t="s">
        <v>48</v>
      </c>
      <c r="J303" s="3" t="s">
        <v>18</v>
      </c>
      <c r="K303" t="s">
        <v>19</v>
      </c>
      <c r="L303" s="6" t="s">
        <v>695</v>
      </c>
      <c r="M303" s="14" t="s">
        <v>1356</v>
      </c>
      <c r="N303" s="6" t="s">
        <v>657</v>
      </c>
      <c r="O303" s="6">
        <v>0</v>
      </c>
      <c r="P303" s="6" t="s">
        <v>1282</v>
      </c>
      <c r="Q303" s="35">
        <v>1</v>
      </c>
      <c r="R303" s="35">
        <v>0</v>
      </c>
      <c r="S303" s="35">
        <v>0</v>
      </c>
      <c r="T303" s="35">
        <v>0</v>
      </c>
      <c r="U303" s="35">
        <v>0</v>
      </c>
      <c r="V303" s="35">
        <v>0</v>
      </c>
      <c r="W303" s="35">
        <v>0</v>
      </c>
      <c r="X303" s="6" t="s">
        <v>657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14" t="s">
        <v>21</v>
      </c>
      <c r="AE303" s="13" t="s">
        <v>599</v>
      </c>
      <c r="AF303" s="13" t="s">
        <v>45</v>
      </c>
      <c r="AG303" s="8" t="s">
        <v>1357</v>
      </c>
      <c r="AH303" s="11">
        <v>41643</v>
      </c>
      <c r="AI303" s="10">
        <v>724</v>
      </c>
      <c r="AJ303" s="12">
        <v>516</v>
      </c>
      <c r="AK303" s="12">
        <f t="shared" si="19"/>
        <v>71.270718232044189</v>
      </c>
      <c r="AL303" s="12" t="str">
        <f t="shared" si="22"/>
        <v>Acima de 50%</v>
      </c>
      <c r="AM303" s="6" t="s">
        <v>663</v>
      </c>
      <c r="AN303" s="6" t="s">
        <v>616</v>
      </c>
      <c r="AO303" s="6" t="s">
        <v>699</v>
      </c>
      <c r="AP303" s="6">
        <v>0</v>
      </c>
      <c r="AQ303" s="6" t="s">
        <v>1289</v>
      </c>
      <c r="AR303" s="6" t="s">
        <v>1403</v>
      </c>
      <c r="AS303" s="6">
        <v>1</v>
      </c>
      <c r="AT303" s="6">
        <v>0</v>
      </c>
      <c r="AU303" s="6">
        <v>0</v>
      </c>
      <c r="AV303" s="6">
        <v>0</v>
      </c>
      <c r="AW303" s="6" t="s">
        <v>652</v>
      </c>
      <c r="AX303" s="31">
        <v>2</v>
      </c>
      <c r="AY303" s="31">
        <v>0</v>
      </c>
      <c r="AZ303" s="31">
        <v>0</v>
      </c>
      <c r="BA303" s="12">
        <f t="shared" si="20"/>
        <v>24.333333333333332</v>
      </c>
      <c r="BB303" s="31">
        <v>10</v>
      </c>
      <c r="BC303" s="31">
        <v>0</v>
      </c>
      <c r="BD303" s="31">
        <v>0</v>
      </c>
      <c r="BE303" s="31">
        <v>0</v>
      </c>
      <c r="BF303" s="12">
        <f t="shared" si="21"/>
        <v>0</v>
      </c>
      <c r="BG303" s="6" t="s">
        <v>1277</v>
      </c>
      <c r="BH303" s="6" t="s">
        <v>1394</v>
      </c>
      <c r="BI303" s="6">
        <v>1</v>
      </c>
      <c r="BJ303" s="6" t="s">
        <v>609</v>
      </c>
      <c r="BK303" s="6">
        <v>0</v>
      </c>
      <c r="BL303" s="6">
        <v>0</v>
      </c>
      <c r="BM303" s="6">
        <v>0</v>
      </c>
      <c r="BN303" s="6">
        <v>1</v>
      </c>
      <c r="BO303" s="6">
        <v>0</v>
      </c>
      <c r="BP303" s="6">
        <v>0</v>
      </c>
      <c r="BQ303" s="6">
        <v>0</v>
      </c>
      <c r="BR303" s="6">
        <v>0</v>
      </c>
    </row>
    <row r="304" spans="1:70" ht="52.8" customHeight="1" x14ac:dyDescent="0.3">
      <c r="A304" s="6">
        <v>1521739</v>
      </c>
      <c r="B304" s="6" t="s">
        <v>26</v>
      </c>
      <c r="C304" s="15" t="s">
        <v>600</v>
      </c>
      <c r="D304" s="6" t="s">
        <v>41</v>
      </c>
      <c r="E304" s="6" t="s">
        <v>15</v>
      </c>
      <c r="F304" s="7">
        <v>42090</v>
      </c>
      <c r="G304" s="7">
        <v>42583</v>
      </c>
      <c r="H304" s="8" t="s">
        <v>42</v>
      </c>
      <c r="I304" s="3" t="s">
        <v>48</v>
      </c>
      <c r="J304" s="3" t="s">
        <v>18</v>
      </c>
      <c r="K304" t="s">
        <v>19</v>
      </c>
      <c r="L304" s="6" t="s">
        <v>696</v>
      </c>
      <c r="M304" s="14" t="s">
        <v>1290</v>
      </c>
      <c r="N304" s="6" t="s">
        <v>657</v>
      </c>
      <c r="O304" s="6">
        <v>0</v>
      </c>
      <c r="P304" s="6" t="s">
        <v>843</v>
      </c>
      <c r="Q304" s="35">
        <v>1</v>
      </c>
      <c r="R304" s="35">
        <v>0</v>
      </c>
      <c r="S304" s="35">
        <v>1</v>
      </c>
      <c r="T304" s="35">
        <v>0</v>
      </c>
      <c r="U304" s="35">
        <v>0</v>
      </c>
      <c r="V304" s="35">
        <v>0</v>
      </c>
      <c r="W304" s="35">
        <v>0</v>
      </c>
      <c r="X304" s="6" t="s">
        <v>657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14" t="s">
        <v>21</v>
      </c>
      <c r="AE304" s="13" t="s">
        <v>269</v>
      </c>
      <c r="AF304" s="13" t="s">
        <v>45</v>
      </c>
      <c r="AG304" s="8" t="s">
        <v>1357</v>
      </c>
      <c r="AH304" s="11">
        <v>40621</v>
      </c>
      <c r="AI304" s="10">
        <v>545</v>
      </c>
      <c r="AJ304" s="12">
        <v>307</v>
      </c>
      <c r="AK304" s="12">
        <f t="shared" si="19"/>
        <v>56.330275229357795</v>
      </c>
      <c r="AL304" s="12" t="str">
        <f t="shared" si="22"/>
        <v>Acima de 50%</v>
      </c>
      <c r="AM304" s="6" t="s">
        <v>737</v>
      </c>
      <c r="AN304" s="6" t="s">
        <v>1454</v>
      </c>
      <c r="AO304" s="6" t="s">
        <v>699</v>
      </c>
      <c r="AP304" s="6">
        <v>0</v>
      </c>
      <c r="AQ304" s="6" t="s">
        <v>625</v>
      </c>
      <c r="AR304" s="6" t="s">
        <v>1400</v>
      </c>
      <c r="AS304" s="6">
        <v>1</v>
      </c>
      <c r="AT304" s="6">
        <v>0</v>
      </c>
      <c r="AU304" s="6">
        <v>0</v>
      </c>
      <c r="AV304" s="6">
        <v>0</v>
      </c>
      <c r="AW304" s="6" t="s">
        <v>890</v>
      </c>
      <c r="AX304" s="31">
        <v>2</v>
      </c>
      <c r="AY304" s="31">
        <v>2</v>
      </c>
      <c r="AZ304" s="31">
        <v>0</v>
      </c>
      <c r="BA304" s="12">
        <f t="shared" si="20"/>
        <v>26.333333333333332</v>
      </c>
      <c r="BB304" s="31">
        <v>10</v>
      </c>
      <c r="BC304" s="31">
        <v>0</v>
      </c>
      <c r="BD304" s="31">
        <v>0</v>
      </c>
      <c r="BE304" s="31">
        <v>0</v>
      </c>
      <c r="BF304" s="12">
        <f t="shared" si="21"/>
        <v>0</v>
      </c>
      <c r="BG304" s="6" t="s">
        <v>1277</v>
      </c>
      <c r="BH304" s="6" t="s">
        <v>1394</v>
      </c>
      <c r="BI304" s="6">
        <v>1</v>
      </c>
      <c r="BJ304" s="6" t="s">
        <v>609</v>
      </c>
      <c r="BK304" s="6">
        <v>0</v>
      </c>
      <c r="BL304" s="6">
        <v>0</v>
      </c>
      <c r="BM304" s="6">
        <v>0</v>
      </c>
      <c r="BN304" s="6">
        <v>1</v>
      </c>
      <c r="BO304" s="6">
        <v>0</v>
      </c>
      <c r="BP304" s="6">
        <v>0</v>
      </c>
      <c r="BQ304" s="6">
        <v>0</v>
      </c>
      <c r="BR304" s="6">
        <v>0</v>
      </c>
    </row>
    <row r="305" spans="1:70" ht="48" customHeight="1" x14ac:dyDescent="0.3">
      <c r="A305" s="6">
        <v>836418</v>
      </c>
      <c r="B305" s="6" t="s">
        <v>46</v>
      </c>
      <c r="C305" s="15" t="s">
        <v>601</v>
      </c>
      <c r="D305" s="6" t="s">
        <v>602</v>
      </c>
      <c r="E305" s="6" t="s">
        <v>15</v>
      </c>
      <c r="F305" s="7">
        <v>42383</v>
      </c>
      <c r="G305" s="7">
        <v>42418</v>
      </c>
      <c r="H305" s="8" t="s">
        <v>52</v>
      </c>
      <c r="I305" s="3" t="s">
        <v>48</v>
      </c>
      <c r="J305" s="3" t="s">
        <v>18</v>
      </c>
      <c r="K305" t="s">
        <v>19</v>
      </c>
      <c r="L305" s="6" t="s">
        <v>695</v>
      </c>
      <c r="M305" s="14" t="s">
        <v>1291</v>
      </c>
      <c r="N305" s="6" t="s">
        <v>657</v>
      </c>
      <c r="O305" s="6">
        <v>0</v>
      </c>
      <c r="P305" s="6" t="s">
        <v>763</v>
      </c>
      <c r="Q305" s="35">
        <v>0</v>
      </c>
      <c r="R305" s="35">
        <v>0</v>
      </c>
      <c r="S305" s="35">
        <v>1</v>
      </c>
      <c r="T305" s="35">
        <v>0</v>
      </c>
      <c r="U305" s="35">
        <v>0</v>
      </c>
      <c r="V305" s="35">
        <v>0</v>
      </c>
      <c r="W305" s="35">
        <v>0</v>
      </c>
      <c r="X305" s="6" t="s">
        <v>657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14" t="s">
        <v>21</v>
      </c>
      <c r="AE305" s="13" t="s">
        <v>603</v>
      </c>
      <c r="AF305" s="13" t="s">
        <v>604</v>
      </c>
      <c r="AG305" s="8" t="s">
        <v>1357</v>
      </c>
      <c r="AH305" s="11">
        <v>40911</v>
      </c>
      <c r="AI305" s="10">
        <v>622</v>
      </c>
      <c r="AJ305" s="12">
        <v>215.96</v>
      </c>
      <c r="AK305" s="12">
        <f t="shared" si="19"/>
        <v>34.720257234726688</v>
      </c>
      <c r="AL305" s="12" t="str">
        <f t="shared" si="22"/>
        <v>25% a 50%</v>
      </c>
      <c r="AM305" s="6" t="s">
        <v>1293</v>
      </c>
      <c r="AN305" s="6" t="s">
        <v>655</v>
      </c>
      <c r="AO305" s="6" t="s">
        <v>699</v>
      </c>
      <c r="AP305" s="6">
        <v>0</v>
      </c>
      <c r="AQ305" s="6" t="s">
        <v>897</v>
      </c>
      <c r="AR305" s="6" t="s">
        <v>1400</v>
      </c>
      <c r="AS305" s="6">
        <v>0</v>
      </c>
      <c r="AT305" s="6">
        <v>0</v>
      </c>
      <c r="AU305" s="6">
        <v>0</v>
      </c>
      <c r="AV305" s="6">
        <v>0</v>
      </c>
      <c r="AW305" s="6" t="s">
        <v>1292</v>
      </c>
      <c r="AX305" s="31">
        <v>1</v>
      </c>
      <c r="AY305" s="31">
        <v>8</v>
      </c>
      <c r="AZ305" s="31">
        <v>0</v>
      </c>
      <c r="BA305" s="12">
        <f t="shared" si="20"/>
        <v>20.166666666666668</v>
      </c>
      <c r="BB305" s="31">
        <v>10</v>
      </c>
      <c r="BC305" s="31">
        <v>0</v>
      </c>
      <c r="BD305" s="31">
        <v>0</v>
      </c>
      <c r="BE305" s="31">
        <v>0</v>
      </c>
      <c r="BF305" s="12">
        <f t="shared" si="21"/>
        <v>0</v>
      </c>
      <c r="BG305" s="6" t="s">
        <v>637</v>
      </c>
      <c r="BH305" s="6" t="s">
        <v>1394</v>
      </c>
      <c r="BI305" s="6">
        <v>0</v>
      </c>
      <c r="BJ305" s="6" t="s">
        <v>609</v>
      </c>
      <c r="BK305" s="6">
        <v>1</v>
      </c>
      <c r="BL305" s="6">
        <v>0</v>
      </c>
      <c r="BM305" s="6">
        <v>0</v>
      </c>
      <c r="BN305" s="6">
        <v>0</v>
      </c>
      <c r="BO305" s="6">
        <v>0</v>
      </c>
      <c r="BP305" s="6">
        <v>0</v>
      </c>
      <c r="BQ305" s="6">
        <v>0</v>
      </c>
      <c r="BR305" s="6">
        <v>0</v>
      </c>
    </row>
    <row r="306" spans="1:70" x14ac:dyDescent="0.3"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BF306" s="12"/>
    </row>
    <row r="307" spans="1:70" x14ac:dyDescent="0.3"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BF307" s="12"/>
    </row>
    <row r="308" spans="1:70" x14ac:dyDescent="0.3"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70" x14ac:dyDescent="0.3"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70" x14ac:dyDescent="0.3"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70" x14ac:dyDescent="0.3"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70" x14ac:dyDescent="0.3"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70" x14ac:dyDescent="0.3"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70" x14ac:dyDescent="0.3"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70" x14ac:dyDescent="0.3"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70" x14ac:dyDescent="0.3"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70" x14ac:dyDescent="0.3"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70" x14ac:dyDescent="0.3"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</sheetData>
  <pageMargins left="0.74803149606299213" right="0.74803149606299213" top="0.98425196850393704" bottom="0.98425196850393704" header="0.51181102362204722" footer="0.51181102362204722"/>
  <pageSetup paperSize="9" scale="80" orientation="landscape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5459E-81B0-497A-B5CF-B257071B12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Dissertação (304)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soares de oliveira</cp:lastModifiedBy>
  <cp:lastPrinted>2026-01-05T11:33:14Z</cp:lastPrinted>
  <dcterms:created xsi:type="dcterms:W3CDTF">2025-11-21T12:05:13Z</dcterms:created>
  <dcterms:modified xsi:type="dcterms:W3CDTF">2026-06-01T17:46:29Z</dcterms:modified>
</cp:coreProperties>
</file>